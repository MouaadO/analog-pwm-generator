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65439ae0b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onents" sheetId="1" r:id="R1f90688031964db0"/>
    <x:sheet xmlns:r="http://schemas.openxmlformats.org/officeDocument/2006/relationships" name="Prices" sheetId="2" r:id="R23ae18f4f7c44207"/>
  </x:sheets>
</x:workbook>
</file>

<file path=xl/sharedStrings.xml><?xml version="1.0" encoding="utf-8"?>
<x:sst xmlns:x="http://schemas.openxmlformats.org/spreadsheetml/2006/main">
  <x:si>
    <x:t xml:space="preserve">ANALOG PWM · COMPONENT PURCHASE COSTS</x:t>
  </x:si>
  <x:si>
    <x:t xml:space="preserve">French VAT</x:t>
  </x:si>
  <x:si>
    <x:t xml:space="preserve">TOTAL INCLUDING TAX</x:t>
  </x:si>
  <x:si>
    <x:t xml:space="preserve">Component type</x:t>
  </x:si>
  <x:si>
    <x:t xml:space="preserve">Supplier part number</x:t>
  </x:si>
  <x:si>
    <x:t xml:space="preserve">Component part number</x:t>
  </x:si>
  <x:si>
    <x:t xml:space="preserve">Unit price (including tax)</x:t>
  </x:si>
  <x:si>
    <x:t xml:space="preserve">Quantity</x:t>
  </x:si>
  <x:si>
    <x:t xml:space="preserve">Total price (including tax)</x:t>
  </x:si>
  <x:si>
    <x:t xml:space="preserve">Online retailer</x:t>
  </x:si>
  <x:si>
    <x:t xml:space="preserve">Dual op amp · DIP-8</x:t>
  </x:si>
  <x:si>
    <x:t xml:space="preserve">3005151</x:t>
  </x:si>
  <x:si>
    <x:t xml:space="preserve">TLC072CP</x:t>
  </x:si>
  <x:si>
    <x:t xml:space="preserve">Farnell ↗</x:t>
  </x:si>
  <x:si>
    <x:t xml:space="preserve">Dual comparator · DIP-14</x:t>
  </x:si>
  <x:si>
    <x:t xml:space="preserve">LM319NNS/NOPB-ND</x:t>
  </x:si>
  <x:si>
    <x:t xml:space="preserve">LM319N/NOPB</x:t>
  </x:si>
  <x:si>
    <x:t xml:space="preserve">DigiKey ↗</x:t>
  </x:si>
  <x:si>
    <x:t xml:space="preserve">Octal inverter · DIP-20</x:t>
  </x:si>
  <x:si>
    <x:t xml:space="preserve">595-SN74ACT240N</x:t>
  </x:si>
  <x:si>
    <x:t xml:space="preserve">SN74ACT240N</x:t>
  </x:si>
  <x:si>
    <x:t xml:space="preserve">Mouser ↗</x:t>
  </x:si>
  <x:si>
    <x:t xml:space="preserve">105 Ω resistor · 1% · 0.25 W axial</x:t>
  </x:si>
  <x:si>
    <x:t xml:space="preserve">603-MFR-25FBF52-105R</x:t>
  </x:si>
  <x:si>
    <x:t xml:space="preserve">MFR-25FBF52-105R</x:t>
  </x:si>
  <x:si>
    <x:t xml:space="preserve">9.76 Ω resistor · 1% · axial</x:t>
  </x:si>
  <x:si>
    <x:t xml:space="preserve">594-5063JD9.761%</x:t>
  </x:si>
  <x:si>
    <x:t xml:space="preserve">MBA02040C9768FC100</x:t>
  </x:si>
  <x:si>
    <x:t xml:space="preserve">12.3 kΩ resistor · 0.1% · 0.25 W axial</x:t>
  </x:si>
  <x:si>
    <x:t xml:space="preserve">708-RNF14BTC12K3</x:t>
  </x:si>
  <x:si>
    <x:t xml:space="preserve">RNF14BTC12K3</x:t>
  </x:si>
  <x:si>
    <x:t xml:space="preserve">1 kΩ resistor · 1% · 0.25 W axial</x:t>
  </x:si>
  <x:si>
    <x:t xml:space="preserve">603-MFR-25FBF52-1K</x:t>
  </x:si>
  <x:si>
    <x:t xml:space="preserve">MFR-25FBF52-1K</x:t>
  </x:si>
  <x:si>
    <x:t xml:space="preserve">12 kΩ resistor · 1% · 0.25 W axial</x:t>
  </x:si>
  <x:si>
    <x:t xml:space="preserve">MFR-25FBF52-12K-ND</x:t>
  </x:si>
  <x:si>
    <x:t xml:space="preserve">MFR-25FBF52-12K</x:t>
  </x:si>
  <x:si>
    <x:t xml:space="preserve">1.8 kΩ resistor · 1% · 0.25 W axial</x:t>
  </x:si>
  <x:si>
    <x:t xml:space="preserve">603-MFR-25FBF52-1K8</x:t>
  </x:si>
  <x:si>
    <x:t xml:space="preserve">MFR-25FBF52-1K8</x:t>
  </x:si>
  <x:si>
    <x:t xml:space="preserve">9.76 kΩ resistor · 1% · 0.25 W axial</x:t>
  </x:si>
  <x:si>
    <x:t xml:space="preserve">9.76KXBK-ND</x:t>
  </x:si>
  <x:si>
    <x:t xml:space="preserve">MFR-25FBF52-9K76</x:t>
  </x:si>
  <x:si>
    <x:t xml:space="preserve">60.4 kΩ resistor · 1% · 0.25 W axial</x:t>
  </x:si>
  <x:si>
    <x:t xml:space="preserve">603-MFR-25FRF52-60K4</x:t>
  </x:si>
  <x:si>
    <x:t xml:space="preserve">MFR-25FRF52-60K4</x:t>
  </x:si>
  <x:si>
    <x:t xml:space="preserve">22 µF capacitor · 16 V · 20% radial</x:t>
  </x:si>
  <x:si>
    <x:t xml:space="preserve">9451064</x:t>
  </x:si>
  <x:si>
    <x:t xml:space="preserve">MCGPR16V226M5X11</x:t>
  </x:si>
  <x:si>
    <x:t xml:space="preserve">100 nF capacitor · 50 V · X7R · 10% radial</x:t>
  </x:si>
  <x:si>
    <x:t xml:space="preserve">2860097</x:t>
  </x:si>
  <x:si>
    <x:t xml:space="preserve">K104K15X7RF5TL2</x:t>
  </x:si>
  <x:si>
    <x:t xml:space="preserve">2.4 nF capacitor · 25 V · C0G · 1% radial</x:t>
  </x:si>
  <x:si>
    <x:t xml:space="preserve">80-C317C242F3G5TA</x:t>
  </x:si>
  <x:si>
    <x:t xml:space="preserve">C317C242F3G5TA</x:t>
  </x:si>
  <x:si>
    <x:t xml:space="preserve">50 kΩ linear potentiometer · single gang</x:t>
  </x:si>
  <x:si>
    <x:t xml:space="preserve">652-PTV09A-2015FB503</x:t>
  </x:si>
  <x:si>
    <x:t xml:space="preserve">PTV09A-2015F-B503</x:t>
  </x:si>
  <x:si>
    <x:t xml:space="preserve">1 kΩ linear potentiometer · single gang</x:t>
  </x:si>
  <x:si>
    <x:t xml:space="preserve">652-PTV09A-4225FB102</x:t>
  </x:si>
  <x:si>
    <x:t xml:space="preserve">PTV09A-4225F-B102</x:t>
  </x:si>
  <x:si>
    <x:t xml:space="preserve">1 kΩ linear potentiometer · dual gang</x:t>
  </x:si>
  <x:si>
    <x:t xml:space="preserve">179-PTN16-A01220K1B2</x:t>
  </x:si>
  <x:si>
    <x:t xml:space="preserve">PTN16-A01220K1B2</x:t>
  </x:si>
  <x:si>
    <x:t xml:space="preserve">Schottky diode · 30 V · DO-35 axial</x:t>
  </x:si>
  <x:si>
    <x:t xml:space="preserve">BAT85SCT-ND</x:t>
  </x:si>
  <x:si>
    <x:t xml:space="preserve">BAT85S-TR</x:t>
  </x:si>
  <x:si>
    <x:t xml:space="preserve">952-2263-ND</x:t>
  </x:si>
  <x:si>
    <x:t xml:space="preserve">M20-9990345</x:t>
  </x:si>
  <x:si>
    <x:t xml:space="preserve">2-pin selector shunt · 2.54 mm</x:t>
  </x:si>
  <x:si>
    <x:t xml:space="preserve">952-2881-ND</x:t>
  </x:si>
  <x:si>
    <x:t xml:space="preserve">M7582-05</x:t>
  </x:si>
  <x:si>
    <x:t xml:space="preserve">SUPPLIER QUOTATIONS · BEFORE TAX INPUTS</x:t>
  </x:si>
  <x:si>
    <x:t xml:space="preserve">Unit € before tax</x:t>
  </x:si>
  <x:si>
    <x:t xml:space="preserve">Retailer</x:t>
  </x:si>
  <x:si>
    <x:t xml:space="preserve">Quote source</x:t>
  </x:si>
  <x:si>
    <x:t xml:space="preserve">Fitted quantity</x:t>
  </x:si>
  <x:si>
    <x:t xml:space="preserve">Purchase quantity</x:t>
  </x:si>
  <x:si>
    <x:t xml:space="preserve">Schematic references</x:t>
  </x:si>
  <x:si>
    <x:t xml:space="preserve">Farnell</x:t>
  </x:si>
  <x:si>
    <x:t xml:space="preserve">Source ↗</x:t>
  </x:si>
  <x:si>
    <x:t xml:space="preserve">U1A, U1B</x:t>
  </x:si>
  <x:si>
    <x:t xml:space="preserve">DigiKey</x:t>
  </x:si>
  <x:si>
    <x:t xml:space="preserve">OSC, PA; PB, END_HIGH</x:t>
  </x:si>
  <x:si>
    <x:t xml:space="preserve">Mouser</x:t>
  </x:si>
  <x:si>
    <x:t xml:space="preserve">U5A, U5C, U5D</x:t>
  </x:si>
  <x:si>
    <x:t xml:space="preserve">REG</x:t>
  </x:si>
  <x:si>
    <x:t xml:space="preserve">RM1, RM2</x:t>
  </x:si>
  <x:si>
    <x:t xml:space="preserve">RMH, RML</x:t>
  </x:si>
  <x:si>
    <x:t xml:space="preserve">RTIM</x:t>
  </x:si>
  <x:si>
    <x:t xml:space="preserve">RH1, RCM2, RL_C, RH_C</x:t>
  </x:si>
  <x:si>
    <x:t xml:space="preserve">RH2</x:t>
  </x:si>
  <x:si>
    <x:t xml:space="preserve">RPO, RPA, RPB</x:t>
  </x:si>
  <x:si>
    <x:t xml:space="preserve">RCM1</x:t>
  </x:si>
  <x:si>
    <x:t xml:space="preserve">RL_DT, RH_DT</x:t>
  </x:si>
  <x:si>
    <x:t xml:space="preserve">CIN</x:t>
  </x:si>
  <x:si>
    <x:t xml:space="preserve">CINT</x:t>
  </x:si>
  <x:si>
    <x:t xml:space="preserve">PF</x:t>
  </x:si>
  <x:si>
    <x:t xml:space="preserve">PD</x:t>
  </x:si>
  <x:si>
    <x:t xml:space="preserve">PDT_H, PDT_L</x:t>
  </x:si>
  <x:si>
    <x:t xml:space="preserve">END_DIODE</x:t>
  </x:si>
  <x:si>
    <x:t xml:space="preserve">JSEL shunt</x:t>
  </x:si>
</x:sst>
</file>

<file path=xl/styles.xml><?xml version="1.0" encoding="utf-8"?>
<x:styleSheet xmlns:x="http://schemas.openxmlformats.org/spreadsheetml/2006/main">
  <x:numFmts count="2">
    <x:numFmt numFmtId="164" formatCode="&quot;€&quot;0.00"/>
    <x:numFmt numFmtId="165" formatCode="&quot;€&quot;0.0000"/>
  </x:numFmts>
  <x:fonts count="8">
    <x:font>
      <x:sz val="11"/>
      <x:name val="Carlito"/>
    </x:font>
    <x:font>
      <x:sz val="10"/>
      <x:color rgb="FF233746"/>
      <x:name val="Arial"/>
    </x:font>
    <x:font>
      <x:b/>
      <x:sz val="16"/>
      <x:color rgb="FF163B51"/>
      <x:name val="Arial"/>
    </x:font>
    <x:font>
      <x:sz val="10"/>
      <x:color rgb="FF0067A1"/>
      <x:name val="Arial"/>
    </x:font>
    <x:font>
      <x:b/>
      <x:sz val="12"/>
      <x:color rgb="FF163B51"/>
      <x:name val="Arial"/>
    </x:font>
    <x:font>
      <x:sz val="10"/>
      <x:color rgb="FF865B00"/>
      <x:name val="Arial"/>
    </x:font>
    <x:font>
      <x:u val="single"/>
      <x:sz val="10"/>
      <x:color rgb="FF0067A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4F0F2"/>
      </x:patternFill>
    </x:fill>
    <x:fill>
      <x:patternFill patternType="solid">
        <x:fgColor rgb="FF163B51"/>
      </x:patternFill>
    </x:fill>
    <x:fill>
      <x:patternFill patternType="solid">
        <x:fgColor rgb="FFF1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9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164" fontId="4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165" fontId="1" fillId="0" borderId="0" xfId="0" applyNumberFormat="1" applyFont="1" applyFill="1" applyBorder="1" applyAlignment="1">
      <x:alignment horizontal="right" vertical="center" wrapText="1"/>
    </x:xf>
    <x:xf numFmtId="1" fontId="1" fillId="0" borderId="0" xfId="0" applyNumberFormat="1" applyFont="1" applyFill="1" applyBorder="1" applyAlignment="1">
      <x:alignment horizontal="right" vertical="center" wrapText="1"/>
    </x:xf>
    <x:xf numFmtId="164" fontId="1" fillId="0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165" fontId="1" fillId="4" borderId="0" xfId="0" applyNumberFormat="1" applyFont="1" applyFill="1" applyBorder="1" applyAlignment="1">
      <x:alignment horizontal="right" vertical="center" wrapText="1"/>
    </x:xf>
    <x:xf numFmtId="1" fontId="1" fillId="4" borderId="0" xfId="0" applyNumberFormat="1" applyFont="1" applyFill="1" applyBorder="1" applyAlignment="1">
      <x:alignment horizontal="right" vertical="center" wrapText="1"/>
    </x:xf>
    <x:xf numFmtId="164" fontId="1" fillId="4" borderId="0" xfId="0" applyNumberFormat="1" applyFont="1" applyFill="1" applyBorder="1" applyAlignment="1">
      <x:alignment horizontal="right"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165" fontId="3" fillId="0" borderId="0" xfId="0" applyNumberFormat="1" applyFont="1" applyFill="1" applyBorder="1" applyAlignment="1">
      <x:alignment vertical="center" wrapText="1"/>
    </x:xf>
    <x:xf numFmtId="165" fontId="3" fillId="4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1fd12cdee4631" /><Relationship Type="http://schemas.openxmlformats.org/officeDocument/2006/relationships/theme" Target="/xl/theme/theme1.xml" Id="R93a377f585cf4496" /><Relationship Type="http://schemas.openxmlformats.org/officeDocument/2006/relationships/sharedStrings" Target="/xl/sharedStrings.xml" Id="R0df6f855f21d4a48" /><Relationship Type="http://schemas.openxmlformats.org/officeDocument/2006/relationships/worksheet" Target="/xl/worksheets/sheet1.xml" Id="R1f90688031964db0" /><Relationship Type="http://schemas.openxmlformats.org/officeDocument/2006/relationships/worksheet" Target="/xl/worksheets/sheet2.xml" Id="R23ae18f4f7c44207" /></Relationships>
</file>

<file path=xl/tables/table1.xml><?xml version="1.0" encoding="utf-8"?>
<x:table xmlns:x="http://schemas.openxmlformats.org/spreadsheetml/2006/main" id="1" name="PurchaseParts" displayName="PurchaseParts" ref="A8:G34" headerRowCount="1" totalsRowCount="0" totalsRowShown="0">
  <x:tableColumns count="7">
    <x:tableColumn id="1" name="Component type"/>
    <x:tableColumn id="2" name="Supplier part number"/>
    <x:tableColumn id="3" name="Component part number"/>
    <x:tableColumn id="4" name="Unit price (including tax)"/>
    <x:tableColumn id="5" name="Quantity"/>
    <x:tableColumn id="6" name="Total price (including tax)"/>
    <x:tableColumn id="7" name="Online retail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Quotes" displayName="SupplierQuotes" ref="A6:H32" headerRowCount="1" totalsRowCount="0" totalsRowShown="0">
  <x:tableColumns count="8">
    <x:tableColumn id="1" name="Component part number"/>
    <x:tableColumn id="2" name="Supplier part number"/>
    <x:tableColumn id="3" name="Unit € before tax"/>
    <x:tableColumn id="4" name="Retailer"/>
    <x:tableColumn id="5" name="Quote source"/>
    <x:tableColumn id="6" name="Fitted quantity"/>
    <x:tableColumn id="7" name="Purchase quantity"/>
    <x:tableColumn id="8" name="Schematic referen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hyperlink" Target="https://fr.farnell.com/texas-instruments/tlc072cp/ic-op-amp-hi-speed-rrio/dp/3005151" TargetMode="External" Id="R865baa0af2e94c50" /><ns0:Relationship Type="http://schemas.openxmlformats.org/officeDocument/2006/relationships/hyperlink" Target="https://www.digikey.fr/fr/products/detail/texas-instruments/LM319N-NOPB/9551" TargetMode="External" Id="R4ba090d922674397" /><ns0:Relationship Type="http://schemas.openxmlformats.org/officeDocument/2006/relationships/hyperlink" Target="https://www.mouser.fr/en/ProductDetail/Texas-Instruments/SN74ACT240N?qs=sGAEpiMZZMtOwpHsRTkso3c7BmVStEd3Is7cBkVpzPM%3D" TargetMode="External" Id="R6f670d24d0644983" /><ns0:Relationship Type="http://schemas.openxmlformats.org/officeDocument/2006/relationships/hyperlink" Target="https://www.mouser.fr/fr/ProductDetail/STMicroelectronics/L7805CV?qs=9NrABl3fj%2FqplZAHiYUxWg%3D%3D" TargetMode="External" Id="Rc27696fe483e4e05" /><ns0:Relationship Type="http://schemas.openxmlformats.org/officeDocument/2006/relationships/hyperlink" Target="https://www.mouser.fr/fr/ProductDetail/YAGEO/MFR-25FBF52-105R?qs=oAGoVhmvjhx1xjvQjhBaqA%3D%3D" TargetMode="External" Id="R7e1dc1fed85a4a99" /><ns0:Relationship Type="http://schemas.openxmlformats.org/officeDocument/2006/relationships/hyperlink" Target="https://www.mouser.fr/en/ProductDetail/Vishay-Beyschlag/MBA02040C9768FC100?qs=sGAEpiMZZMtlubZbdhIBIBVk1FrbPqRGfNBaHU4aTCc%3D" TargetMode="External" Id="Rc27b33315852489c" /><ns0:Relationship Type="http://schemas.openxmlformats.org/officeDocument/2006/relationships/hyperlink" Target="https://www.mouser.fr/en/ProductDetail/SEI-Stackpole/RNF14BTC12K3?qs=LnCj936TGbUaYoq1Wc%2FTVQ%3D%3D" TargetMode="External" Id="Rf6df85b96d464948" /><ns0:Relationship Type="http://schemas.openxmlformats.org/officeDocument/2006/relationships/hyperlink" Target="https://www.mouser.fr/fr/ProductDetail/YAGEO/MFR-25FBF52-1K?qs=oAGoVhmvjhwCAC47ReWjsQ%3D%3D" TargetMode="External" Id="Rf9720c2449aa4a96" /><ns0:Relationship Type="http://schemas.openxmlformats.org/officeDocument/2006/relationships/hyperlink" Target="https://www.digikey.fr/en/products/detail/yageo/MFR-25FBF52-12K/9138051" TargetMode="External" Id="Rced7f66293fd4e4c" /><ns0:Relationship Type="http://schemas.openxmlformats.org/officeDocument/2006/relationships/hyperlink" Target="https://www.mouser.fr/ProductDetail/YAGEO/MFR-25FBF52-1K8?qs=oAGoVhmvjhxFlUUkv6aTEg%3D%3D" TargetMode="External" Id="R1afe95cfe86149df" /><ns0:Relationship Type="http://schemas.openxmlformats.org/officeDocument/2006/relationships/hyperlink" Target="https://www.digikey.fr/en/products/detail/yageo/MFR-25FBF52-9K76/13217" TargetMode="External" Id="R73cbaf973b794997" /><ns0:Relationship Type="http://schemas.openxmlformats.org/officeDocument/2006/relationships/hyperlink" Target="https://www.mouser.fr/fr/ProductDetail/YAGEO/MFR-25FRF52-60K4?qs=oAGoVhmvjhwuEJuU8%2FmJxQ%3D%3D" TargetMode="External" Id="Ra007763c880345c1" /><ns0:Relationship Type="http://schemas.openxmlformats.org/officeDocument/2006/relationships/hyperlink" Target="https://fr.farnell.com/multicomp-pro/mcgpr16v226m5x11/cap-22-f-16v-20/dp/9451064" TargetMode="External" Id="R10aff9ba4d404dd4" /><ns0:Relationship Type="http://schemas.openxmlformats.org/officeDocument/2006/relationships/hyperlink" Target="https://fr.farnell.com/en-FR/vishay/k104k15x7rf5tl2/cap-0-1-f-50v-10-x7r/dp/2860097" TargetMode="External" Id="R5b5a419187c8454e" /><ns0:Relationship Type="http://schemas.openxmlformats.org/officeDocument/2006/relationships/hyperlink" Target="https://www.mouser.fr/fr/ProductDetail/KEMET/C317C242F3G5TA?qs=sGAEpiMZZMs7ZEmUmaUL06SW6ZQcwDWyZvLuzRZuX%252BMzfknZ1Ebv5A%3D%3D" TargetMode="External" Id="R20b6d308aed04464" /><ns0:Relationship Type="http://schemas.openxmlformats.org/officeDocument/2006/relationships/hyperlink" Target="https://www.mouser.fr/fr/ProductDetail/Bourns/PTV09A-2015F-B503?qs=sGAEpiMZZMtC25l1F4XBUwzDdsXNxLSU8%2F05b1ehHCw%3D" TargetMode="External" Id="Rc061a9592937482c" /><ns0:Relationship Type="http://schemas.openxmlformats.org/officeDocument/2006/relationships/hyperlink" Target="https://www.mouser.fr/ProductDetail/Bourns/PTV09A-4225F-B102?qs=Qzws7J6gxqyeFhc0kO3Q7A%3D%3D" TargetMode="External" Id="R473d0d26762f4bdc" /><ns0:Relationship Type="http://schemas.openxmlformats.org/officeDocument/2006/relationships/hyperlink" Target="https://www.mouser.fr/en/ProductDetail/Same-Sky/PTN16-A01220K1B2?qs=VJzv269c%252BPaiDuqAWK2%252BFA%3D%3D" TargetMode="External" Id="Rd1ee01b407584324" /><ns0:Relationship Type="http://schemas.openxmlformats.org/officeDocument/2006/relationships/hyperlink" Target="https://www.digikey.fr/en/products/detail/vishay-general-semiconductor-diodes-division/BAT85S-TR/3104128" TargetMode="External" Id="R867cbc0c1409421d" /><ns0:Relationship Type="http://schemas.openxmlformats.org/officeDocument/2006/relationships/hyperlink" Target="https://www.digikey.fr/fr/products/detail/harwin-inc/M20-9990345/3728227" TargetMode="External" Id="R5845b0df77764313" /><ns0:Relationship Type="http://schemas.openxmlformats.org/officeDocument/2006/relationships/hyperlink" Target="https://www.digikey.fr/en/products/detail/harwin-inc/M7582-05/3922850" TargetMode="External" Id="R063cf1fabacc4980" /><ns0:Relationship Type="http://schemas.openxmlformats.org/officeDocument/2006/relationships/hyperlink" Target="https://fr.farnell.com/mueller-electric/bu-1420701236/conn-rf-sma-fem-50-ohms-pcb/dp/4472531" TargetMode="External" Id="R772f2038fffa4e7d" /><ns0:Relationship Type="http://schemas.openxmlformats.org/officeDocument/2006/relationships/hyperlink" Target="https://fr.farnell.com/mueller-electric/bu-1420701236/conn-rf-sma-fem-50-ohms-pcb/dp/4472531" TargetMode="External" Id="R512f72175ce34def" /><ns0:Relationship Type="http://schemas.openxmlformats.org/officeDocument/2006/relationships/hyperlink" Target="https://fr.farnell.com/mueller-electric/bu-1420701236/conn-rf-sma-fem-50-ohms-pcb/dp/4472531" TargetMode="External" Id="Re1b98dfbc8b744cc" /><ns0:Relationship Type="http://schemas.openxmlformats.org/officeDocument/2006/relationships/hyperlink" Target="https://fr.farnell.com/mueller-electric/bu-1420701236/conn-rf-sma-fem-50-ohms-pcb/dp/4472531" TargetMode="External" Id="Reb80b303be5a406d" /><ns0:Relationship Type="http://schemas.openxmlformats.org/officeDocument/2006/relationships/hyperlink" Target="https://fr.farnell.com/mueller-electric/bu-1420701236/conn-rf-sma-fem-50-ohms-pcb/dp/4472531" TargetMode="External" Id="Rd7917b9438e448dd" /><ns0:Relationship Type="http://schemas.openxmlformats.org/officeDocument/2006/relationships/table" Target="/xl/tables/table1.xml" Id="R202eb9853bf042f6" /><ns0:Relationship Id="rIdBomRevision1_0" Type="http://schemas.openxmlformats.org/officeDocument/2006/relationships/hyperlink" Target="https://fr.farnell.com/stmicroelectronics/lf50abv/ldo-fixe-5v-0-5a-40-a-125-c/dp/3130160" TargetMode="External" /><ns0:Relationship Id="rIdBomRevision1_1" Type="http://schemas.openxmlformats.org/officeDocument/2006/relationships/hyperlink" Target="https://www.digikey.fr/en/products/detail/panasonic-industry/EEU-FC1H4R7H/6109560" TargetMode="External" /><ns0:Relationship Id="rIdBomRevision1_2" Type="http://schemas.openxmlformats.org/officeDocument/2006/relationships/hyperlink" Target="https://www.digikey.fr/fr/products/detail/sullins-connector-solutions/PPTC061LFBN-RC/810145" TargetMode="External" /><ns0:Relationship Id="rIdBomRevision1_3" Type="http://schemas.openxmlformats.org/officeDocument/2006/relationships/hyperlink" Target="https://www.digikey.fr/fr/products/detail/sullins-connector-solutions/PPTC081LFBN-RC/810147" TargetMode="External" /><ns0:Relationship Id="rIdBomRevision1_4" Type="http://schemas.openxmlformats.org/officeDocument/2006/relationships/hyperlink" Target="https://www.digikey.fr/fr/products/detail/sullins-connector-solutions/PPTC101LFBN-RC/810149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hyperlink" Target="https://fr.farnell.com/c/semiconducteurs-circuits-integres/amplificateurs-comparateurs/amplificateurs-operationnels-aop?brand=texas-instruments&amp;taux-de-balayage-typ-=16v-us" TargetMode="External" Id="Re337dd82d2234dfc" /><ns0:Relationship Type="http://schemas.openxmlformats.org/officeDocument/2006/relationships/hyperlink" Target="https://www.digikey.fr/fr/products/detail/texas-instruments/LM319N-NOPB/9551" TargetMode="External" Id="R878ac166b4df467f" /><ns0:Relationship Type="http://schemas.openxmlformats.org/officeDocument/2006/relationships/hyperlink" Target="https://www.mouser.ie/en/ProductDetail/Texas-Instruments/SN74ACT240N?qs=sGAEpiMZZMtOwpHsRTkso3c7BmVStEd3Is7cBkVpzPM%3D" TargetMode="External" Id="R39061d3f9a7d48a0" /><ns0:Relationship Type="http://schemas.openxmlformats.org/officeDocument/2006/relationships/hyperlink" Target="https://www.mouser.fr/fr/ProductDetail/STMicroelectronics/L7805CV?qs=9NrABl3fj%2FqplZAHiYUxWg%3D%3D" TargetMode="External" Id="R78139a27561f4007" /><ns0:Relationship Type="http://schemas.openxmlformats.org/officeDocument/2006/relationships/hyperlink" Target="https://www.mouser.fr/fr/ProductDetail/YAGEO/MFR-25FBF52-105R?qs=oAGoVhmvjhx1xjvQjhBaqA%3D%3D" TargetMode="External" Id="Rf5a25a2e973643f3" /><ns0:Relationship Type="http://schemas.openxmlformats.org/officeDocument/2006/relationships/hyperlink" Target="https://www.mouser.fr/en/c/passive-components/resistors/?resistance=9.76%20Ohms" TargetMode="External" Id="R26d7c3210a5f4f98" /><ns0:Relationship Type="http://schemas.openxmlformats.org/officeDocument/2006/relationships/hyperlink" Target="https://www.mouser.fr/en/ProductDetail/SEI-Stackpole/RNF14BTC12K3?qs=LnCj936TGbUaYoq1Wc%2FTVQ%3D%3D" TargetMode="External" Id="R2adec82a461a40f5" /><ns0:Relationship Type="http://schemas.openxmlformats.org/officeDocument/2006/relationships/hyperlink" Target="https://www.mouser.fr/fr/ProductDetail/YAGEO/MFR-25FBF52-1K?qs=oAGoVhmvjhwCAC47ReWjsQ%3D%3D" TargetMode="External" Id="Rf2c9a0ca55d546e4" /><ns0:Relationship Type="http://schemas.openxmlformats.org/officeDocument/2006/relationships/hyperlink" Target="https://www.digikey.fr/en/products/detail/yageo/MFR-25FBF52-12K/9138051" TargetMode="External" Id="R81106ed3ff5c4060" /><ns0:Relationship Type="http://schemas.openxmlformats.org/officeDocument/2006/relationships/hyperlink" Target="https://www.mouser.fr/ProductDetail/YAGEO/MFR-25FBF52-1K8?qs=oAGoVhmvjhxFlUUkv6aTEg%3D%3D" TargetMode="External" Id="R8c209c3ffaeb4e5f" /><ns0:Relationship Type="http://schemas.openxmlformats.org/officeDocument/2006/relationships/hyperlink" Target="https://www.digikey.fr/en/products/detail/yageo/MFR-25FBF52-9K76/13217" TargetMode="External" Id="Rd1ce3ea45f754dee" /><ns0:Relationship Type="http://schemas.openxmlformats.org/officeDocument/2006/relationships/hyperlink" Target="https://www.mouser.fr/fr/ProductDetail/YAGEO/MFR-25FRF52-60K4?qs=oAGoVhmvjhwuEJuU8%2FmJxQ%3D%3D" TargetMode="External" Id="R86f6e4826a5a4073" /><ns0:Relationship Type="http://schemas.openxmlformats.org/officeDocument/2006/relationships/hyperlink" Target="https://fr.farnell.com/multicomp-pro/mcgpr16v226m5x11/cap-22-f-16v-20/dp/9451064" TargetMode="External" Id="Re47e24e767eb493f" /><ns0:Relationship Type="http://schemas.openxmlformats.org/officeDocument/2006/relationships/hyperlink" Target="https://fr.farnell.com/en-FR/vishay/k104k15x7rf5tl2/cap-0-1-f-50v-10-x7r/dp/2860097" TargetMode="External" Id="R679b183ad0a54093" /><ns0:Relationship Type="http://schemas.openxmlformats.org/officeDocument/2006/relationships/hyperlink" Target="https://www.mouser.fr/fr/ProductDetail/KEMET/C317C242F3G5TA?qs=sGAEpiMZZMs7ZEmUmaUL06SW6ZQcwDWyZvLuzRZuX%252BMzfknZ1Ebv5A%3D%3D" TargetMode="External" Id="R7689733467a44a98" /><ns0:Relationship Type="http://schemas.openxmlformats.org/officeDocument/2006/relationships/hyperlink" Target="https://www.mouser.fr/fr/ProductDetail/Bourns/PTV09A-2015F-B503?qs=sGAEpiMZZMtC25l1F4XBUwzDdsXNxLSU8%2F05b1ehHCw%3D" TargetMode="External" Id="R0895a336b5fc4590" /><ns0:Relationship Type="http://schemas.openxmlformats.org/officeDocument/2006/relationships/hyperlink" Target="https://nl.mouser.com/ProductDetail/Bourns/PTV09A-4225F-B102?qs=Qzws7J6gxqyeFhc0kO3Q7A%3D%3D" TargetMode="External" Id="R33e8200d783346e7" /><ns0:Relationship Type="http://schemas.openxmlformats.org/officeDocument/2006/relationships/hyperlink" Target="https://www.mouser.fr/en/ProductDetail/Same-Sky/PTN16-A01220K1B2?qs=VJzv269c%252BPaiDuqAWK2%252BFA%3D%3D" TargetMode="External" Id="Rcf2446b6b36d4620" /><ns0:Relationship Type="http://schemas.openxmlformats.org/officeDocument/2006/relationships/hyperlink" Target="https://www.digikey.fr/en/products/detail/vishay-general-semiconductor-diodes-division/BAT85S-TR/3104128" TargetMode="External" Id="R08656382cf854ab7" /><ns0:Relationship Type="http://schemas.openxmlformats.org/officeDocument/2006/relationships/hyperlink" Target="https://www.digikey.fr/fr/products/detail/harwin-inc/M20-9990345/3728227" TargetMode="External" Id="Rd2033856e0324c56" /><ns0:Relationship Type="http://schemas.openxmlformats.org/officeDocument/2006/relationships/hyperlink" Target="https://www.digikey.fr/en/products/detail/harwin-inc/M7582-05/3922850" TargetMode="External" Id="Ra250c5e5b1c94179" /><ns0:Relationship Type="http://schemas.openxmlformats.org/officeDocument/2006/relationships/hyperlink" Target="https://fr.farnell.com/mueller-electric/bu-1420701236/conn-rf-sma-fem-50-ohms-pcb/dp/4472531" TargetMode="External" Id="Rb1f2cbdd78be47fe" /><ns0:Relationship Type="http://schemas.openxmlformats.org/officeDocument/2006/relationships/hyperlink" Target="https://fr.farnell.com/mueller-electric/bu-1420701236/conn-rf-sma-fem-50-ohms-pcb/dp/4472531" TargetMode="External" Id="R2ee37ca94c0c4607" /><ns0:Relationship Type="http://schemas.openxmlformats.org/officeDocument/2006/relationships/hyperlink" Target="https://fr.farnell.com/mueller-electric/bu-1420701236/conn-rf-sma-fem-50-ohms-pcb/dp/4472531" TargetMode="External" Id="R326cdb9e98944930" /><ns0:Relationship Type="http://schemas.openxmlformats.org/officeDocument/2006/relationships/hyperlink" Target="https://fr.farnell.com/mueller-electric/bu-1420701236/conn-rf-sma-fem-50-ohms-pcb/dp/4472531" TargetMode="External" Id="R29890bf93bfc4967" /><ns0:Relationship Type="http://schemas.openxmlformats.org/officeDocument/2006/relationships/hyperlink" Target="https://fr.farnell.com/mueller-electric/bu-1420701236/conn-rf-sma-fem-50-ohms-pcb/dp/4472531" TargetMode="External" Id="Rcc37c96ede0f4372" /><ns0:Relationship Type="http://schemas.openxmlformats.org/officeDocument/2006/relationships/table" Target="/xl/tables/table2.xml" Id="Rf1e8862cf1a64770" /><ns0:Relationship Id="rIdBomRevision2_0" Type="http://schemas.openxmlformats.org/officeDocument/2006/relationships/hyperlink" Target="https://fr.farnell.com/stmicroelectronics/lf50abv/ldo-fixe-5v-0-5a-40-a-125-c/dp/3130160" TargetMode="External" /><ns0:Relationship Id="rIdBomRevision2_1" Type="http://schemas.openxmlformats.org/officeDocument/2006/relationships/hyperlink" Target="https://www.digikey.fr/en/products/detail/panasonic-industry/EEU-FC1H4R7H/6109560" TargetMode="External" /><ns0:Relationship Id="rIdBomRevision2_2" Type="http://schemas.openxmlformats.org/officeDocument/2006/relationships/hyperlink" Target="https://www.digikey.fr/fr/products/detail/sullins-connector-solutions/PPTC061LFBN-RC/810145" TargetMode="External" /><ns0:Relationship Id="rIdBomRevision2_3" Type="http://schemas.openxmlformats.org/officeDocument/2006/relationships/hyperlink" Target="https://www.digikey.fr/fr/products/detail/sullins-connector-solutions/PPTC081LFBN-RC/810147" TargetMode="External" /><ns0:Relationship Id="rIdBomRevision2_4" Type="http://schemas.openxmlformats.org/officeDocument/2006/relationships/hyperlink" Target="https://www.digikey.fr/fr/products/detail/sullins-connector-solutions/PPTC101LFBN-RC/810149" TargetMode="External" /></ns0: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FF163B51"/>
  </ns0:sheetPr>
  <ns0:sheetViews>
    <ns0:sheetView showGridLines="0" workbookViewId="0"/>
  </ns0:sheetViews>
  <ns0:sheetFormatPr defaultRowHeight="14.399999618530273"/>
  <ns0:cols>
    <ns0:col min="1" max="1" width="37" customWidth="1"/>
    <ns0:col min="2" max="2" width="28" customWidth="1"/>
    <ns0:col min="3" max="3" width="32" customWidth="1"/>
    <ns0:col min="4" max="4" width="19" customWidth="1"/>
    <ns0:col min="5" max="5" width="10" customWidth="1"/>
    <ns0:col min="6" max="6" width="19" customWidth="1"/>
    <ns0:col min="7" max="7" width="17" customWidth="1"/>
  </ns0:cols>
  <ns0:sheetData>
    <ns0:row r="1" ht="22.049999237060547" customHeight="1">
      <ns0:c r="A1" s="1"/>
      <ns0:c r="B1" s="1"/>
      <ns0:c r="C1" s="1"/>
      <ns0:c r="D1" s="1"/>
      <ns0:c r="E1" s="1"/>
      <ns0:c r="F1" s="1"/>
      <ns0:c r="G1" s="1"/>
      <ns0:c r="H1" s="1"/>
      <ns0:c r="I1" s="1"/>
    </ns0:row>
    <ns0:row r="2" ht="22.049999237060547" customHeight="1">
      <ns0:c r="A2" s="18" t="s">
        <ns0:v>0</ns0:v>
      </ns0:c>
      <ns0:c r="B2" s="19"/>
      <ns0:c r="C2" s="19"/>
      <ns0:c r="D2" s="19"/>
      <ns0:c r="E2" s="19"/>
      <ns0:c r="F2" s="19"/>
      <ns0:c r="G2" s="19"/>
      <ns0:c r="H2" s="1"/>
      <ns0:c r="I2" s="1"/>
    </ns0:row>
    <ns0:row r="3" ht="4.949999809265137" customHeight="1">
      <ns0:c r="A3" s="19"/>
      <ns0:c r="B3" s="19"/>
      <ns0:c r="C3" s="19"/>
      <ns0:c r="D3" s="19"/>
      <ns0:c r="E3" s="19"/>
      <ns0:c r="F3" s="19"/>
      <ns0:c r="G3" s="19"/>
      <ns0:c r="H3" s="1"/>
      <ns0:c r="I3" s="1"/>
    </ns0:row>
    <ns0:row r="4" ht="30" customHeight="1">
      <ns0:c r="A4" s="1" t="s">
        <ns0:v>1</ns0:v>
      </ns0:c>
      <ns0:c r="B4" s="2">
        <ns0:v>0.2</ns0:v>
      </ns0:c>
      <ns0:c r="C4" s="1"/>
      <ns0:c r="D4" s="20" t="s">
        <ns0:v>2</ns0:v>
      </ns0:c>
      <ns0:c r="E4" s="20"/>
      <ns0:c r="F4" s="4" t="n">
        <ns0:f>IF(COUNT(F9:F34)=26,SUM(F9:F34),"Price missing")</ns0:f>
        <ns0:v>31.81000000000001</ns0:v>
      </ns0:c>
      <ns0:c r="G4" s="3"/>
      <ns0:c r="H4" s="1"/>
      <ns0:c r="I4" s="1"/>
    </ns0:row>
    <ns0:row r="5" ht="4.949999809265137" customHeight="1">
      <ns0:c r="A5" s="19"/>
      <ns0:c r="B5" s="19"/>
      <ns0:c r="C5" s="19"/>
      <ns0:c r="D5" s="19"/>
      <ns0:c r="E5" s="19"/>
      <ns0:c r="F5" s="19"/>
      <ns0:c r="G5" s="19"/>
      <ns0:c r="H5" s="1"/>
      <ns0:c r="I5" s="1"/>
    </ns0:row>
    <ns0:row r="6" ht="4.949999809265137" customHeight="1">
      <ns0:c r="A6" s="19"/>
      <ns0:c r="B6" s="19"/>
      <ns0:c r="C6" s="19"/>
      <ns0:c r="D6" s="19"/>
      <ns0:c r="E6" s="19"/>
      <ns0:c r="F6" s="19"/>
      <ns0:c r="G6" s="19"/>
      <ns0:c r="H6" s="1"/>
      <ns0:c r="I6" s="1"/>
    </ns0:row>
    <ns0:row r="7" ht="4.949999809265137" customHeight="1">
      <ns0:c r="A7" s="21"/>
      <ns0:c r="B7" s="19"/>
      <ns0:c r="C7" s="19"/>
      <ns0:c r="D7" s="19"/>
      <ns0:c r="E7" s="19"/>
      <ns0:c r="F7" s="19"/>
      <ns0:c r="G7" s="19"/>
      <ns0:c r="H7" s="1"/>
      <ns0:c r="I7" s="1"/>
    </ns0:row>
    <ns0:row r="8" ht="43.95000076293945" customHeight="1">
      <ns0:c r="A8" s="5" t="s">
        <ns0:v>3</ns0:v>
      </ns0:c>
      <ns0:c r="B8" s="5" t="s">
        <ns0:v>4</ns0:v>
      </ns0:c>
      <ns0:c r="C8" s="5" t="s">
        <ns0:v>5</ns0:v>
      </ns0:c>
      <ns0:c r="D8" s="5" t="s">
        <ns0:v>6</ns0:v>
      </ns0:c>
      <ns0:c r="E8" s="5" t="s">
        <ns0:v>7</ns0:v>
      </ns0:c>
      <ns0:c r="F8" s="5" t="s">
        <ns0:v>8</ns0:v>
      </ns0:c>
      <ns0:c r="G8" s="5" t="s">
        <ns0:v>9</ns0:v>
      </ns0:c>
      <ns0:c r="H8" s="1"/>
      <ns0:c r="I8" s="1"/>
    </ns0:row>
    <ns0:row r="9" ht="49.95000076293945" customHeight="1">
      <ns0:c r="A9" s="6" t="s">
        <ns0:v>10</ns0:v>
      </ns0:c>
      <ns0:c r="B9" s="6" t="s">
        <ns0:v>11</ns0:v>
      </ns0:c>
      <ns0:c r="C9" s="6" t="s">
        <ns0:v>12</ns0:v>
      </ns0:c>
      <ns0:c r="D9" s="7" t="n">
        <ns0:f>IF(ISNUMBER(Prices!C7),Prices!C7*(1+$B$4),"Price missing")</ns0:f>
        <ns0:v>3.6239999999999997</ns0:v>
      </ns0:c>
      <ns0:c r="E9" s="8">
        <ns0:v>1</ns0:v>
      </ns0:c>
      <ns0:c r="F9" s="9" t="n">
        <ns0:f t="shared" ref="F9:F29" si="0">IF(ISNUMBER(D9),ROUND(D9*E9,2),"Price missing")</ns0:f>
        <ns0:v>3.62</ns0:v>
      </ns0:c>
      <ns0:c r="G9" s="10" t="s">
        <ns0:v>13</ns0:v>
      </ns0:c>
      <ns0:c r="H9" s="1"/>
      <ns0:c r="I9" s="1"/>
    </ns0:row>
    <ns0:row r="10" ht="49.95000076293945" customHeight="1">
      <ns0:c r="A10" s="11" t="s">
        <ns0:v>14</ns0:v>
      </ns0:c>
      <ns0:c r="B10" s="11" t="s">
        <ns0:v>15</ns0:v>
      </ns0:c>
      <ns0:c r="C10" s="11" t="s">
        <ns0:v>16</ns0:v>
      </ns0:c>
      <ns0:c r="D10" s="12" t="n">
        <ns0:f>IF(ISNUMBER(Prices!C8),Prices!C8*(1+$B$4),"Price missing")</ns0:f>
        <ns0:v>2.64</ns0:v>
      </ns0:c>
      <ns0:c r="E10" s="13">
        <ns0:v>2</ns0:v>
      </ns0:c>
      <ns0:c r="F10" s="14">
        <ns0:f t="shared" si="0"/>
        <ns0:v>5.28</ns0:v>
      </ns0:c>
      <ns0:c r="G10" s="15" t="s">
        <ns0:v>17</ns0:v>
      </ns0:c>
      <ns0:c r="H10" s="1"/>
      <ns0:c r="I10" s="1"/>
    </ns0:row>
    <ns0:row r="11" ht="49.95000076293945" customHeight="1">
      <ns0:c r="A11" s="6" t="s">
        <ns0:v>18</ns0:v>
      </ns0:c>
      <ns0:c r="B11" s="6" t="s">
        <ns0:v>19</ns0:v>
      </ns0:c>
      <ns0:c r="C11" s="6" t="s">
        <ns0:v>20</ns0:v>
      </ns0:c>
      <ns0:c r="D11" s="7" t="n">
        <ns0:f>IF(ISNUMBER(Prices!C9),Prices!C9*(1+$B$4),"Price missing")</ns0:f>
        <ns0:v>1.716</ns0:v>
      </ns0:c>
      <ns0:c r="E11" s="8">
        <ns0:v>1</ns0:v>
      </ns0:c>
      <ns0:c r="F11" s="9">
        <ns0:f t="shared" si="0"/>
        <ns0:v>1.72</ns0:v>
      </ns0:c>
      <ns0:c r="G11" s="10" t="s">
        <ns0:v>21</ns0:v>
      </ns0:c>
      <ns0:c r="H11" s="1"/>
      <ns0:c r="I11" s="1"/>
    </ns0:row>
    <ns0:row r="12" ht="49.95000076293945" customHeight="1">
      <ns0:c r="A12" s="11" t="str">
        <ns0:v>5 V LDO · ±1% at 25°C · TO-220</ns0:v>
      </ns0:c>
      <ns0:c r="B12" s="11" t="str">
        <ns0:v>3130160</ns0:v>
      </ns0:c>
      <ns0:c r="C12" s="11" t="str">
        <ns0:v>LF50ABV</ns0:v>
      </ns0:c>
      <ns0:c r="D12" s="12" t="n">
        <ns0:f>IF(ISNUMBER(Prices!C10),Prices!C10*(1+$B$4),"Price missing")</ns0:f>
        <ns0:v>1.344</ns0:v>
      </ns0:c>
      <ns0:c r="E12" s="13">
        <ns0:v>1</ns0:v>
      </ns0:c>
      <ns0:c r="F12" s="14" t="n">
        <ns0:f t="shared" si="0">IF(ISNUMBER(D12),ROUND(D12*E12,2),"Price missing")</ns0:f>
        <ns0:v>1.34</ns0:v>
      </ns0:c>
      <ns0:c r="G12" s="15" t="str">
        <ns0:v>Farnell ↗</ns0:v>
      </ns0:c>
      <ns0:c r="H12" s="1"/>
      <ns0:c r="I12" s="1"/>
    </ns0:row>
    <ns0:row r="13" ht="49.95000076293945" customHeight="1">
      <ns0:c r="A13" s="6" t="s">
        <ns0:v>22</ns0:v>
      </ns0:c>
      <ns0:c r="B13" s="6" t="s">
        <ns0:v>23</ns0:v>
      </ns0:c>
      <ns0:c r="C13" s="6" t="s">
        <ns0:v>24</ns0:v>
      </ns0:c>
      <ns0:c r="D13" s="7" t="n">
        <ns0:f>IF(ISNUMBER(Prices!C11),Prices!C11*(1+$B$4),"Price missing")</ns0:f>
        <ns0:v>0.10319999999999999</ns0:v>
      </ns0:c>
      <ns0:c r="E13" s="8">
        <ns0:v>2</ns0:v>
      </ns0:c>
      <ns0:c r="F13" s="9">
        <ns0:f t="shared" si="0"/>
        <ns0:v>0.21</ns0:v>
      </ns0:c>
      <ns0:c r="G13" s="10" t="s">
        <ns0:v>21</ns0:v>
      </ns0:c>
      <ns0:c r="H13" s="1"/>
      <ns0:c r="I13" s="1"/>
    </ns0:row>
    <ns0:row r="14" ht="49.95000076293945" customHeight="1">
      <ns0:c r="A14" s="11" t="s">
        <ns0:v>25</ns0:v>
      </ns0:c>
      <ns0:c r="B14" s="11" t="s">
        <ns0:v>26</ns0:v>
      </ns0:c>
      <ns0:c r="C14" s="11" t="s">
        <ns0:v>27</ns0:v>
      </ns0:c>
      <ns0:c r="D14" s="12" t="n">
        <ns0:f>IF(ISNUMBER(Prices!C12),Prices!C12*(1+$B$4),"Price missing")</ns0:f>
        <ns0:v>1.0944</ns0:v>
      </ns0:c>
      <ns0:c r="E14" s="13">
        <ns0:v>2</ns0:v>
      </ns0:c>
      <ns0:c r="F14" s="14">
        <ns0:f t="shared" si="0"/>
        <ns0:v>2.19</ns0:v>
      </ns0:c>
      <ns0:c r="G14" s="15" t="s">
        <ns0:v>21</ns0:v>
      </ns0:c>
      <ns0:c r="H14" s="1"/>
      <ns0:c r="I14" s="1"/>
    </ns0:row>
    <ns0:row r="15" ht="49.95000076293945" customHeight="1">
      <ns0:c r="A15" s="6" t="s">
        <ns0:v>28</ns0:v>
      </ns0:c>
      <ns0:c r="B15" s="6" t="s">
        <ns0:v>29</ns0:v>
      </ns0:c>
      <ns0:c r="C15" s="6" t="s">
        <ns0:v>30</ns0:v>
      </ns0:c>
      <ns0:c r="D15" s="7" t="n">
        <ns0:f>IF(ISNUMBER(Prices!C13),Prices!C13*(1+$B$4),"Price missing")</ns0:f>
        <ns0:v>0.1656</ns0:v>
      </ns0:c>
      <ns0:c r="E15" s="8">
        <ns0:v>1</ns0:v>
      </ns0:c>
      <ns0:c r="F15" s="9">
        <ns0:f t="shared" si="0"/>
        <ns0:v>0.17</ns0:v>
      </ns0:c>
      <ns0:c r="G15" s="10" t="s">
        <ns0:v>21</ns0:v>
      </ns0:c>
      <ns0:c r="H15" s="1"/>
      <ns0:c r="I15" s="1"/>
    </ns0:row>
    <ns0:row r="16" ht="49.95000076293945" customHeight="1">
      <ns0:c r="A16" s="11" t="s">
        <ns0:v>31</ns0:v>
      </ns0:c>
      <ns0:c r="B16" s="11" t="s">
        <ns0:v>32</ns0:v>
      </ns0:c>
      <ns0:c r="C16" s="11" t="s">
        <ns0:v>33</ns0:v>
      </ns0:c>
      <ns0:c r="D16" s="12" t="n">
        <ns0:f>IF(ISNUMBER(Prices!C14),Prices!C14*(1+$B$4),"Price missing")</ns0:f>
        <ns0:v>0.10319999999999999</ns0:v>
      </ns0:c>
      <ns0:c r="E16" s="13">
        <ns0:v>4</ns0:v>
      </ns0:c>
      <ns0:c r="F16" s="14">
        <ns0:f t="shared" si="0"/>
        <ns0:v>0.41</ns0:v>
      </ns0:c>
      <ns0:c r="G16" s="15" t="s">
        <ns0:v>21</ns0:v>
      </ns0:c>
      <ns0:c r="H16" s="1"/>
      <ns0:c r="I16" s="1"/>
    </ns0:row>
    <ns0:row r="17" ht="49.95000076293945" customHeight="1">
      <ns0:c r="A17" s="6" t="s">
        <ns0:v>34</ns0:v>
      </ns0:c>
      <ns0:c r="B17" s="6" t="s">
        <ns0:v>35</ns0:v>
      </ns0:c>
      <ns0:c r="C17" s="6" t="s">
        <ns0:v>36</ns0:v>
      </ns0:c>
      <ns0:c r="D17" s="7" t="n">
        <ns0:f>IF(ISNUMBER(Prices!C15),Prices!C15*(1+$B$4),"Price missing")</ns0:f>
        <ns0:v>0.108</ns0:v>
      </ns0:c>
      <ns0:c r="E17" s="8">
        <ns0:v>1</ns0:v>
      </ns0:c>
      <ns0:c r="F17" s="9">
        <ns0:f t="shared" si="0"/>
        <ns0:v>0.11</ns0:v>
      </ns0:c>
      <ns0:c r="G17" s="10" t="s">
        <ns0:v>17</ns0:v>
      </ns0:c>
      <ns0:c r="H17" s="1"/>
      <ns0:c r="I17" s="1"/>
    </ns0:row>
    <ns0:row r="18" ht="49.95000076293945" customHeight="1">
      <ns0:c r="A18" s="11" t="s">
        <ns0:v>37</ns0:v>
      </ns0:c>
      <ns0:c r="B18" s="11" t="s">
        <ns0:v>38</ns0:v>
      </ns0:c>
      <ns0:c r="C18" s="11" t="s">
        <ns0:v>39</ns0:v>
      </ns0:c>
      <ns0:c r="D18" s="12" t="n">
        <ns0:f>IF(ISNUMBER(Prices!C16),Prices!C16*(1+$B$4),"Price missing")</ns0:f>
        <ns0:v>0.10319999999999999</ns0:v>
      </ns0:c>
      <ns0:c r="E18" s="13">
        <ns0:v>3</ns0:v>
      </ns0:c>
      <ns0:c r="F18" s="14">
        <ns0:f t="shared" si="0"/>
        <ns0:v>0.31</ns0:v>
      </ns0:c>
      <ns0:c r="G18" s="15" t="s">
        <ns0:v>21</ns0:v>
      </ns0:c>
      <ns0:c r="H18" s="1"/>
      <ns0:c r="I18" s="1"/>
    </ns0:row>
    <ns0:row r="19" ht="49.95000076293945" customHeight="1">
      <ns0:c r="A19" s="6" t="s">
        <ns0:v>40</ns0:v>
      </ns0:c>
      <ns0:c r="B19" s="6" t="s">
        <ns0:v>41</ns0:v>
      </ns0:c>
      <ns0:c r="C19" s="6" t="s">
        <ns0:v>42</ns0:v>
      </ns0:c>
      <ns0:c r="D19" s="7" t="n">
        <ns0:f>IF(ISNUMBER(Prices!C17),Prices!C17*(1+$B$4),"Price missing")</ns0:f>
        <ns0:v>0.108</ns0:v>
      </ns0:c>
      <ns0:c r="E19" s="8">
        <ns0:v>1</ns0:v>
      </ns0:c>
      <ns0:c r="F19" s="9">
        <ns0:f t="shared" si="0"/>
        <ns0:v>0.11</ns0:v>
      </ns0:c>
      <ns0:c r="G19" s="10" t="s">
        <ns0:v>17</ns0:v>
      </ns0:c>
      <ns0:c r="H19" s="1"/>
      <ns0:c r="I19" s="1"/>
    </ns0:row>
    <ns0:row r="20" ht="49.95000076293945" customHeight="1">
      <ns0:c r="A20" s="11" t="s">
        <ns0:v>43</ns0:v>
      </ns0:c>
      <ns0:c r="B20" s="11" t="s">
        <ns0:v>44</ns0:v>
      </ns0:c>
      <ns0:c r="C20" s="11" t="s">
        <ns0:v>45</ns0:v>
      </ns0:c>
      <ns0:c r="D20" s="12" t="n">
        <ns0:f>IF(ISNUMBER(Prices!C18),Prices!C18*(1+$B$4),"Price missing")</ns0:f>
        <ns0:v>0.108</ns0:v>
      </ns0:c>
      <ns0:c r="E20" s="13">
        <ns0:v>2</ns0:v>
      </ns0:c>
      <ns0:c r="F20" s="14">
        <ns0:f t="shared" si="0"/>
        <ns0:v>0.22</ns0:v>
      </ns0:c>
      <ns0:c r="G20" s="15" t="s">
        <ns0:v>21</ns0:v>
      </ns0:c>
      <ns0:c r="H20" s="1"/>
      <ns0:c r="I20" s="1"/>
    </ns0:row>
    <ns0:row r="21" ht="49.95000076293945" customHeight="1">
      <ns0:c r="A21" s="6" t="s">
        <ns0:v>46</ns0:v>
      </ns0:c>
      <ns0:c r="B21" s="6" t="s">
        <ns0:v>47</ns0:v>
      </ns0:c>
      <ns0:c r="C21" s="6" t="s">
        <ns0:v>48</ns0:v>
      </ns0:c>
      <ns0:c r="D21" s="7" t="n">
        <ns0:f>IF(ISNUMBER(Prices!C19),Prices!C19*(1+$B$4),"Price missing")</ns0:f>
        <ns0:v>0.1158</ns0:v>
      </ns0:c>
      <ns0:c r="E21" s="8">
        <ns0:v>1</ns0:v>
      </ns0:c>
      <ns0:c r="F21" s="9">
        <ns0:f t="shared" si="0"/>
        <ns0:v>0.12</ns0:v>
      </ns0:c>
      <ns0:c r="G21" s="10" t="s">
        <ns0:v>13</ns0:v>
      </ns0:c>
      <ns0:c r="H21" s="1"/>
      <ns0:c r="I21" s="1"/>
    </ns0:row>
    <ns0:row r="22" ht="49.95000076293945" customHeight="1">
      <ns0:c r="A22" s="11" t="s">
        <ns0:v>49</ns0:v>
      </ns0:c>
      <ns0:c r="B22" s="11" t="s">
        <ns0:v>50</ns0:v>
      </ns0:c>
      <ns0:c r="C22" s="11" t="s">
        <ns0:v>51</ns0:v>
      </ns0:c>
      <ns0:c r="D22" s="12" t="n">
        <ns0:f>IF(ISNUMBER(Prices!C20),Prices!C20*(1+$B$4),"Price missing")</ns0:f>
        <ns0:v>0.11256</ns0:v>
      </ns0:c>
      <ns0:c r="E22" s="13">
        <ns0:v>10</ns0:v>
      </ns0:c>
      <ns0:c r="F22" s="14">
        <ns0:f t="shared" si="0"/>
        <ns0:v>1.1299999999999999</ns0:v>
      </ns0:c>
      <ns0:c r="G22" s="15" t="s">
        <ns0:v>13</ns0:v>
      </ns0:c>
      <ns0:c r="H22" s="1"/>
      <ns0:c r="I22" s="1"/>
    </ns0:row>
    <ns0:row r="23" ht="49.95000076293945" customHeight="1">
      <ns0:c r="A23" s="6" t="s">
        <ns0:v>52</ns0:v>
      </ns0:c>
      <ns0:c r="B23" s="6" t="s">
        <ns0:v>53</ns0:v>
      </ns0:c>
      <ns0:c r="C23" s="6" t="s">
        <ns0:v>54</ns0:v>
      </ns0:c>
      <ns0:c r="D23" s="7" t="n">
        <ns0:f>IF(ISNUMBER(Prices!C21),Prices!C21*(1+$B$4),"Price missing")</ns0:f>
        <ns0:v>1.7999999999999998</ns0:v>
      </ns0:c>
      <ns0:c r="E23" s="8">
        <ns0:v>1</ns0:v>
      </ns0:c>
      <ns0:c r="F23" s="9">
        <ns0:f t="shared" si="0"/>
        <ns0:v>1.8</ns0:v>
      </ns0:c>
      <ns0:c r="G23" s="10" t="s">
        <ns0:v>21</ns0:v>
      </ns0:c>
      <ns0:c r="H23" s="1"/>
      <ns0:c r="I23" s="1"/>
    </ns0:row>
    <ns0:row r="24" ht="49.95000076293945" customHeight="1">
      <ns0:c r="A24" s="11" t="s">
        <ns0:v>55</ns0:v>
      </ns0:c>
      <ns0:c r="B24" s="11" t="s">
        <ns0:v>56</ns0:v>
      </ns0:c>
      <ns0:c r="C24" s="11" t="s">
        <ns0:v>57</ns0:v>
      </ns0:c>
      <ns0:c r="D24" s="12" t="n">
        <ns0:f>IF(ISNUMBER(Prices!C22),Prices!C22*(1+$B$4),"Price missing")</ns0:f>
        <ns0:v>1.1663999999999999</ns0:v>
      </ns0:c>
      <ns0:c r="E24" s="13">
        <ns0:v>1</ns0:v>
      </ns0:c>
      <ns0:c r="F24" s="14">
        <ns0:f t="shared" si="0"/>
        <ns0:v>1.17</ns0:v>
      </ns0:c>
      <ns0:c r="G24" s="15" t="s">
        <ns0:v>21</ns0:v>
      </ns0:c>
      <ns0:c r="H24" s="1"/>
      <ns0:c r="I24" s="1"/>
    </ns0:row>
    <ns0:row r="25" ht="49.95000076293945" customHeight="1">
      <ns0:c r="A25" s="6" t="s">
        <ns0:v>58</ns0:v>
      </ns0:c>
      <ns0:c r="B25" s="6" t="s">
        <ns0:v>59</ns0:v>
      </ns0:c>
      <ns0:c r="C25" s="6" t="s">
        <ns0:v>60</ns0:v>
      </ns0:c>
      <ns0:c r="D25" s="7" t="n">
        <ns0:f>IF(ISNUMBER(Prices!C23),Prices!C23*(1+$B$4),"Price missing")</ns0:f>
        <ns0:v>0.9179999999999999</ns0:v>
      </ns0:c>
      <ns0:c r="E25" s="8">
        <ns0:v>1</ns0:v>
      </ns0:c>
      <ns0:c r="F25" s="9">
        <ns0:f t="shared" si="0"/>
        <ns0:v>0.92</ns0:v>
      </ns0:c>
      <ns0:c r="G25" s="10" t="s">
        <ns0:v>21</ns0:v>
      </ns0:c>
      <ns0:c r="H25" s="1"/>
      <ns0:c r="I25" s="1"/>
    </ns0:row>
    <ns0:row r="26" ht="49.95000076293945" customHeight="1">
      <ns0:c r="A26" s="11" t="s">
        <ns0:v>61</ns0:v>
      </ns0:c>
      <ns0:c r="B26" s="11" t="s">
        <ns0:v>62</ns0:v>
      </ns0:c>
      <ns0:c r="C26" s="11" t="s">
        <ns0:v>63</ns0:v>
      </ns0:c>
      <ns0:c r="D26" s="12" t="n">
        <ns0:f>IF(ISNUMBER(Prices!C24),Prices!C24*(1+$B$4),"Price missing")</ns0:f>
        <ns0:v>1.8719999999999999</ns0:v>
      </ns0:c>
      <ns0:c r="E26" s="13">
        <ns0:v>1</ns0:v>
      </ns0:c>
      <ns0:c r="F26" s="14">
        <ns0:f t="shared" si="0"/>
        <ns0:v>1.87</ns0:v>
      </ns0:c>
      <ns0:c r="G26" s="15" t="s">
        <ns0:v>21</ns0:v>
      </ns0:c>
      <ns0:c r="H26" s="1"/>
      <ns0:c r="I26" s="1"/>
    </ns0:row>
    <ns0:row r="27" ht="49.95000076293945" customHeight="1">
      <ns0:c r="A27" s="6" t="s">
        <ns0:v>64</ns0:v>
      </ns0:c>
      <ns0:c r="B27" s="6" t="s">
        <ns0:v>65</ns0:v>
      </ns0:c>
      <ns0:c r="C27" s="6" t="s">
        <ns0:v>66</ns0:v>
      </ns0:c>
      <ns0:c r="D27" s="7" t="n">
        <ns0:f>IF(ISNUMBER(Prices!C25),Prices!C25*(1+$B$4),"Price missing")</ns0:f>
        <ns0:v>0.528</ns0:v>
      </ns0:c>
      <ns0:c r="E27" s="8">
        <ns0:v>1</ns0:v>
      </ns0:c>
      <ns0:c r="F27" s="9">
        <ns0:f t="shared" si="0"/>
        <ns0:v>0.53</ns0:v>
      </ns0:c>
      <ns0:c r="G27" s="10" t="s">
        <ns0:v>17</ns0:v>
      </ns0:c>
      <ns0:c r="H27" s="1"/>
      <ns0:c r="I27" s="1"/>
    </ns0:row>
    <ns0:row r="28" ht="49.95000076293945" customHeight="1">
      <ns0:c r="A28" s="11" t="str">
        <ns0:v>3-pin selector header · 2.54 mm THT</ns0:v>
      </ns0:c>
      <ns0:c r="B28" s="11" t="s">
        <ns0:v>67</ns0:v>
      </ns0:c>
      <ns0:c r="C28" s="11" t="s">
        <ns0:v>68</ns0:v>
      </ns0:c>
      <ns0:c r="D28" s="12" t="n">
        <ns0:f>IF(ISNUMBER(Prices!C26),Prices!C26*(1+$B$4),"Price missing")</ns0:f>
        <ns0:v>0.156</ns0:v>
      </ns0:c>
      <ns0:c r="E28" s="13" t="n">
        <ns0:v>1</ns0:v>
      </ns0:c>
      <ns0:c r="F28" s="14" t="n">
        <ns0:f t="shared" si="0">IF(ISNUMBER(D28),ROUND(D28*E28,2),"Price missing")</ns0:f>
        <ns0:v>0.16</ns0:v>
      </ns0:c>
      <ns0:c r="G28" s="15" t="s">
        <ns0:v>17</ns0:v>
      </ns0:c>
      <ns0:c r="H28" s="1"/>
      <ns0:c r="I28" s="1"/>
    </ns0:row>
    <ns0:row r="29" ht="49.95000076293945" customHeight="1">
      <ns0:c r="A29" s="6" t="s">
        <ns0:v>69</ns0:v>
      </ns0:c>
      <ns0:c r="B29" s="6" t="s">
        <ns0:v>70</ns0:v>
      </ns0:c>
      <ns0:c r="C29" s="6" t="s">
        <ns0:v>71</ns0:v>
      </ns0:c>
      <ns0:c r="D29" s="7" t="n">
        <ns0:f>IF(ISNUMBER(Prices!C27),Prices!C27*(1+$B$4),"Price missing")</ns0:f>
        <ns0:v>0.168</ns0:v>
      </ns0:c>
      <ns0:c r="E29" s="8">
        <ns0:v>1</ns0:v>
      </ns0:c>
      <ns0:c r="F29" s="9">
        <ns0:f t="shared" si="0"/>
        <ns0:v>0.17</ns0:v>
      </ns0:c>
      <ns0:c r="G29" s="10" t="s">
        <ns0:v>17</ns0:v>
      </ns0:c>
      <ns0:c r="H29" s="1"/>
      <ns0:c r="I29" s="1"/>
    </ns0:row>
    <ns0:row r="30" ht="49.95000076293945" customHeight="1">
      <ns0:c r="A30" s="6" t="str">
        <ns0:v>Female SMA jack · vertical THT</ns0:v>
      </ns0:c>
      <ns0:c r="B30" s="6" t="str">
        <ns0:v>4472531</ns0:v>
      </ns0:c>
      <ns0:c r="C30" s="6" t="str">
        <ns0:v>BU-1420701236</ns0:v>
      </ns0:c>
      <ns0:c r="D30" s="7" t="n">
        <ns0:f>IF(ISNUMBER(Prices!C28),Prices!C28*(1+$B$4),"Price missing")</ns0:f>
        <ns0:v>5.436</ns0:v>
      </ns0:c>
      <ns0:c r="E30" s="8" t="n">
        <ns0:v>1</ns0:v>
      </ns0:c>
      <ns0:c r="F30" s="9" t="n">
        <ns0:f>IF(ISNUMBER(D30),ROUND(D30*E30,2),"Price missing")</ns0:f>
        <ns0:v>5.44</ns0:v>
      </ns0:c>
      <ns0:c r="G30" s="10" t="str">
        <ns0:v>Farnell ↗</ns0:v>
      </ns0:c>
      <ns0:c r="H30" s="1"/>
      <ns0:c r="I30" s="1"/>
    </ns0:row>
    <ns0:row r="31" ht="49.95000076293945" customHeight="1">
      <ns0:c r="A31" s="6" t="str">
        <ns0:v>4.7 µF capacitor · 50 V · 20% radial</ns0:v>
      </ns0:c>
      <ns0:c r="B31" s="6" t="str">
        <ns0:v>P19662CT-ND</ns0:v>
      </ns0:c>
      <ns0:c r="C31" s="6" t="str">
        <ns0:v>EEU-FC1H4R7H</ns0:v>
      </ns0:c>
      <ns0:c r="D31" s="7" t="n">
        <ns0:f>IF(ISNUMBER(Prices!C29),Prices!C29*(1+$B$4),"Price missing")</ns0:f>
        <ns0:v>0.432</ns0:v>
      </ns0:c>
      <ns0:c r="E31" s="8" t="n">
        <ns0:v>1</ns0:v>
      </ns0:c>
      <ns0:c r="F31" s="9" t="n">
        <ns0:f>IF(ISNUMBER(D31),ROUND(D31*E31,2),"Price missing")</ns0:f>
        <ns0:v>0.43</ns0:v>
      </ns0:c>
      <ns0:c r="G31" s="10" t="str">
        <ns0:v>DigiKey ↗</ns0:v>
      </ns0:c>
      <ns0:c r="H31" s="1"/>
      <ns0:c r="I31" s="1"/>
    </ns0:row>
    <ns0:row r="32" ht="49.95000076293945" customHeight="1">
      <ns0:c r="A32" s="6" t="str">
        <ns0:v>6-pin female header · 2.54 mm THT</ns0:v>
      </ns0:c>
      <ns0:c r="B32" s="6" t="str">
        <ns0:v>S7004-ND</ns0:v>
      </ns0:c>
      <ns0:c r="C32" s="6" t="str">
        <ns0:v>PPTC061LFBN-RC</ns0:v>
      </ns0:c>
      <ns0:c r="D32" s="7" t="n">
        <ns0:f>IF(ISNUMBER(Prices!C30),Prices!C30*(1+$B$4),"Price missing")</ns0:f>
        <ns0:v>0.49199999999999994</ns0:v>
      </ns0:c>
      <ns0:c r="E32" s="8" t="n">
        <ns0:v>1</ns0:v>
      </ns0:c>
      <ns0:c r="F32" s="9" t="n">
        <ns0:f>IF(ISNUMBER(D32),ROUND(D32*E32,2),"Price missing")</ns0:f>
        <ns0:v>0.49</ns0:v>
      </ns0:c>
      <ns0:c r="G32" s="10" t="str">
        <ns0:v>DigiKey ↗</ns0:v>
      </ns0:c>
      <ns0:c r="H32" s="1"/>
      <ns0:c r="I32" s="1"/>
    </ns0:row>
    <ns0:row r="33" ht="49.95000076293945" customHeight="1">
      <ns0:c r="A33" s="6" t="str">
        <ns0:v>8-pin female header · 2.54 mm THT</ns0:v>
      </ns0:c>
      <ns0:c r="B33" s="6" t="str">
        <ns0:v>S7006-ND</ns0:v>
      </ns0:c>
      <ns0:c r="C33" s="6" t="str">
        <ns0:v>PPTC081LFBN-RC</ns0:v>
      </ns0:c>
      <ns0:c r="D33" s="7" t="n">
        <ns0:f>IF(ISNUMBER(Prices!C31),Prices!C31*(1+$B$4),"Price missing")</ns0:f>
        <ns0:v>0.612</ns0:v>
      </ns0:c>
      <ns0:c r="E33" s="8" t="n">
        <ns0:v>2</ns0:v>
      </ns0:c>
      <ns0:c r="F33" s="9" t="n">
        <ns0:f>IF(ISNUMBER(D33),ROUND(D33*E33,2),"Price missing")</ns0:f>
        <ns0:v>1.22</ns0:v>
      </ns0:c>
      <ns0:c r="G33" s="10" t="str">
        <ns0:v>DigiKey ↗</ns0:v>
      </ns0:c>
      <ns0:c r="H33" s="1"/>
      <ns0:c r="I33" s="1"/>
    </ns0:row>
    <ns0:row r="34" ht="49.95000076293945" customHeight="1">
      <ns0:c r="A34" s="6" t="str">
        <ns0:v>10-pin female header · 2.54 mm THT</ns0:v>
      </ns0:c>
      <ns0:c r="B34" s="6" t="str">
        <ns0:v>S7008-ND</ns0:v>
      </ns0:c>
      <ns0:c r="C34" s="6" t="str">
        <ns0:v>PPTC101LFBN-RC</ns0:v>
      </ns0:c>
      <ns0:c r="D34" s="7" t="n">
        <ns0:f>IF(ISNUMBER(Prices!C32),Prices!C32*(1+$B$4),"Price missing")</ns0:f>
        <ns0:v>0.672</ns0:v>
      </ns0:c>
      <ns0:c r="E34" s="8" t="n">
        <ns0:v>1</ns0:v>
      </ns0:c>
      <ns0:c r="F34" s="9" t="n">
        <ns0:f>IF(ISNUMBER(D34),ROUND(D34*E34,2),"Price missing")</ns0:f>
        <ns0:v>0.67</ns0:v>
      </ns0:c>
      <ns0:c r="G34" s="10" t="str">
        <ns0:v>DigiKey ↗</ns0:v>
      </ns0:c>
      <ns0:c r="H34" s="1"/>
      <ns0:c r="I34" s="1"/>
    </ns0:row>
    <ns0:row r="35" ht="22.049999237060547" customHeight="1">
      <ns0:c r="A35" s="1"/>
      <ns0:c r="B35" s="1"/>
      <ns0:c r="C35" s="1"/>
      <ns0:c r="D35" s="1"/>
      <ns0:c r="E35" s="1"/>
      <ns0:c r="F35" s="1"/>
      <ns0:c r="G35" s="1"/>
      <ns0:c r="H35" s="1"/>
      <ns0:c r="I35" s="1"/>
    </ns0:row>
    <ns0:row r="36" ht="22.049999237060547" customHeight="1">
      <ns0:c r="A36" s="1"/>
      <ns0:c r="B36" s="1"/>
      <ns0:c r="C36" s="1"/>
      <ns0:c r="D36" s="1"/>
      <ns0:c r="E36" s="1"/>
      <ns0:c r="F36" s="1"/>
      <ns0:c r="G36" s="1"/>
      <ns0:c r="H36" s="1"/>
      <ns0:c r="I36" s="1"/>
    </ns0:row>
    <ns0:row r="37" ht="22.049999237060547" customHeight="1">
      <ns0:c r="A37" s="1"/>
      <ns0:c r="B37" s="1"/>
      <ns0:c r="C37" s="1"/>
      <ns0:c r="D37" s="1"/>
      <ns0:c r="E37" s="1"/>
      <ns0:c r="F37" s="1"/>
      <ns0:c r="G37" s="1"/>
      <ns0:c r="H37" s="1"/>
      <ns0:c r="I37" s="1"/>
    </ns0:row>
    <ns0:row r="38" ht="22.049999237060547" customHeight="1">
      <ns0:c r="A38" s="1"/>
      <ns0:c r="B38" s="1"/>
      <ns0:c r="C38" s="1"/>
      <ns0:c r="D38" s="1"/>
      <ns0:c r="E38" s="1"/>
      <ns0:c r="F38" s="1"/>
      <ns0:c r="G38" s="1"/>
      <ns0:c r="H38" s="1"/>
      <ns0:c r="I38" s="1"/>
    </ns0:row>
    <ns0:row r="39" ht="22.049999237060547" customHeight="1">
      <ns0:c r="A39" s="1"/>
      <ns0:c r="B39" s="1"/>
      <ns0:c r="C39" s="1"/>
      <ns0:c r="D39" s="1"/>
      <ns0:c r="E39" s="1"/>
      <ns0:c r="F39" s="1"/>
      <ns0:c r="G39" s="1"/>
      <ns0:c r="H39" s="1"/>
      <ns0:c r="I39" s="1"/>
    </ns0:row>
  </ns0:sheetData>
  <ns0:mergeCells>
    <ns0:mergeCell ref="A6:G6"/>
    <ns0:mergeCell ref="A7:G7"/>
    <ns0:mergeCell ref="A2:G2"/>
    <ns0:mergeCell ref="A3:G3"/>
    <ns0:mergeCell ref="D4:E4"/>
    <ns0:mergeCell ref="A5:G5"/>
  </ns0:mergeCells>
  <ns0:hyperlinks>
    <ns0:hyperlink ref="G9" ns1:id="R865baa0af2e94c50"/>
    <ns0:hyperlink ref="G10" ns1:id="R4ba090d922674397"/>
    <ns0:hyperlink ref="G11" ns1:id="R6f670d24d0644983"/>
    <ns0:hyperlink ref="G12" ns1:id="rIdBomRevision1_0"/>
    <ns0:hyperlink ref="G13" ns1:id="R7e1dc1fed85a4a99"/>
    <ns0:hyperlink ref="G14" ns1:id="Rc27b33315852489c"/>
    <ns0:hyperlink ref="G15" ns1:id="Rf6df85b96d464948"/>
    <ns0:hyperlink ref="G16" ns1:id="Rf9720c2449aa4a96"/>
    <ns0:hyperlink ref="G17" ns1:id="Rced7f66293fd4e4c"/>
    <ns0:hyperlink ref="G18" ns1:id="R1afe95cfe86149df"/>
    <ns0:hyperlink ref="G19" ns1:id="R73cbaf973b794997"/>
    <ns0:hyperlink ref="G20" ns1:id="Ra007763c880345c1"/>
    <ns0:hyperlink ref="G21" ns1:id="R10aff9ba4d404dd4"/>
    <ns0:hyperlink ref="G22" ns1:id="R5b5a419187c8454e"/>
    <ns0:hyperlink ref="G23" ns1:id="R20b6d308aed04464"/>
    <ns0:hyperlink ref="G24" ns1:id="Rc061a9592937482c"/>
    <ns0:hyperlink ref="G25" ns1:id="R473d0d26762f4bdc"/>
    <ns0:hyperlink ref="G26" ns1:id="Rd1ee01b407584324"/>
    <ns0:hyperlink ref="G27" ns1:id="R867cbc0c1409421d"/>
    <ns0:hyperlink ref="G28" ns1:id="R5845b0df77764313"/>
    <ns0:hyperlink ref="G29" ns1:id="R063cf1fabacc4980"/>
    <ns0:hyperlink ref="G30" ns1:id="R772f2038fffa4e7d"/>
    <ns0:hyperlink ref="G31" ns1:id="rIdBomRevision1_1"/>
    <ns0:hyperlink ref="G32" ns1:id="rIdBomRevision1_2"/>
    <ns0:hyperlink ref="G33" ns1:id="rIdBomRevision1_3"/>
    <ns0:hyperlink ref="G34" ns1:id="rIdBomRevision1_4"/>
  </ns0:hyperlinks>
  <ns0:pageMargins left="0.7" right="0.7" top="0.75" bottom="0.75" header="0.3" footer="0.3"/>
  <ns0:tableParts count="1">
    <ns0:tablePart ns1:id="R202eb9853bf042f6"/>
  </ns0:tableParts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tabColor rgb="FF163B51"/>
  </ns0:sheetPr>
  <ns0:sheetViews>
    <ns0:sheetView showGridLines="0" workbookViewId="0"/>
  </ns0:sheetViews>
  <ns0:sheetFormatPr defaultRowHeight="14.399999618530273"/>
  <ns0:cols>
    <ns0:col min="1" max="1" width="32" customWidth="1"/>
    <ns0:col min="2" max="2" width="28" customWidth="1"/>
    <ns0:col min="3" max="3" width="17" customWidth="1"/>
    <ns0:col min="4" max="5" width="13" customWidth="1"/>
    <ns0:col min="6" max="6" width="10" customWidth="1"/>
    <ns0:col min="7" max="7" width="12" customWidth="1"/>
    <ns0:col min="8" max="8" width="28" customWidth="1"/>
    <ns0:col min="9" max="9" width="64" customWidth="1"/>
  </ns0:cols>
  <ns0:sheetData>
    <ns0:row r="1" ht="22.049999237060547" customHeight="1">
      <ns0:c r="A1" s="1"/>
      <ns0:c r="B1" s="1"/>
      <ns0:c r="C1" s="1"/>
      <ns0:c r="D1" s="1"/>
      <ns0:c r="E1" s="1"/>
      <ns0:c r="F1" s="1"/>
      <ns0:c r="G1" s="1"/>
      <ns0:c r="H1" s="1"/>
      <ns0:c r="I1" s="1"/>
    </ns0:row>
    <ns0:row r="2" ht="22.049999237060547" customHeight="1">
      <ns0:c r="A2" s="18" t="s">
        <ns0:v>72</ns0:v>
      </ns0:c>
      <ns0:c r="B2" s="19"/>
      <ns0:c r="C2" s="19"/>
      <ns0:c r="D2" s="19"/>
      <ns0:c r="E2" s="19"/>
      <ns0:c r="F2" s="19"/>
      <ns0:c r="G2" s="19"/>
      <ns0:c r="H2" s="19"/>
      <ns0:c r="I2" s="1"/>
    </ns0:row>
    <ns0:row r="3" ht="4.949999809265137" customHeight="1">
      <ns0:c r="A3" s="19"/>
      <ns0:c r="B3" s="19"/>
      <ns0:c r="C3" s="19"/>
      <ns0:c r="D3" s="19"/>
      <ns0:c r="E3" s="19"/>
      <ns0:c r="F3" s="19"/>
      <ns0:c r="G3" s="19"/>
      <ns0:c r="H3" s="19"/>
      <ns0:c r="I3" s="19"/>
    </ns0:row>
    <ns0:row r="4" ht="4.949999809265137" customHeight="1">
      <ns0:c r="A4" s="19"/>
      <ns0:c r="B4" s="19"/>
      <ns0:c r="C4" s="19"/>
      <ns0:c r="D4" s="19"/>
      <ns0:c r="E4" s="19"/>
      <ns0:c r="F4" s="19"/>
      <ns0:c r="G4" s="19"/>
      <ns0:c r="H4" s="19"/>
      <ns0:c r="I4" s="19"/>
    </ns0:row>
    <ns0:row r="5" ht="4.949999809265137" customHeight="1">
      <ns0:c r="A5" s="19"/>
      <ns0:c r="B5" s="19"/>
      <ns0:c r="C5" s="19"/>
      <ns0:c r="D5" s="19"/>
      <ns0:c r="E5" s="19"/>
      <ns0:c r="F5" s="19"/>
      <ns0:c r="G5" s="19"/>
      <ns0:c r="H5" s="19"/>
      <ns0:c r="I5" s="19"/>
    </ns0:row>
    <ns0:row r="6" ht="43.95000076293945" customHeight="1">
      <ns0:c r="A6" s="5" t="s">
        <ns0:v>5</ns0:v>
      </ns0:c>
      <ns0:c r="B6" s="5" t="s">
        <ns0:v>4</ns0:v>
      </ns0:c>
      <ns0:c r="C6" s="5" t="s">
        <ns0:v>73</ns0:v>
      </ns0:c>
      <ns0:c r="D6" s="5" t="s">
        <ns0:v>74</ns0:v>
      </ns0:c>
      <ns0:c r="E6" s="5" t="s">
        <ns0:v>75</ns0:v>
      </ns0:c>
      <ns0:c r="F6" s="5" t="s">
        <ns0:v>76</ns0:v>
      </ns0:c>
      <ns0:c r="G6" s="5" t="s">
        <ns0:v>77</ns0:v>
      </ns0:c>
      <ns0:c r="H6" s="5" t="s">
        <ns0:v>78</ns0:v>
      </ns0:c>
    </ns0:row>
    <ns0:row r="7" ht="49.95000076293945" customHeight="1">
      <ns0:c r="A7" s="6" t="s">
        <ns0:v>12</ns0:v>
      </ns0:c>
      <ns0:c r="B7" s="6" t="s">
        <ns0:v>11</ns0:v>
      </ns0:c>
      <ns0:c r="C7" s="16">
        <ns0:v>3.02</ns0:v>
      </ns0:c>
      <ns0:c r="D7" s="6" t="s">
        <ns0:v>79</ns0:v>
      </ns0:c>
      <ns0:c r="E7" s="10" t="s">
        <ns0:v>80</ns0:v>
      </ns0:c>
      <ns0:c r="F7" s="6">
        <ns0:v>1</ns0:v>
      </ns0:c>
      <ns0:c r="G7" s="6">
        <ns0:v>1</ns0:v>
      </ns0:c>
      <ns0:c r="H7" s="6" t="s">
        <ns0:v>81</ns0:v>
      </ns0:c>
    </ns0:row>
    <ns0:row r="8" ht="49.95000076293945" customHeight="1">
      <ns0:c r="A8" s="11" t="s">
        <ns0:v>16</ns0:v>
      </ns0:c>
      <ns0:c r="B8" s="11" t="s">
        <ns0:v>15</ns0:v>
      </ns0:c>
      <ns0:c r="C8" s="17">
        <ns0:v>2.2000000000000002</ns0:v>
      </ns0:c>
      <ns0:c r="D8" s="11" t="s">
        <ns0:v>82</ns0:v>
      </ns0:c>
      <ns0:c r="E8" s="15" t="s">
        <ns0:v>80</ns0:v>
      </ns0:c>
      <ns0:c r="F8" s="11">
        <ns0:v>2</ns0:v>
      </ns0:c>
      <ns0:c r="G8" s="11">
        <ns0:v>2</ns0:v>
      </ns0:c>
      <ns0:c r="H8" s="11" t="s">
        <ns0:v>83</ns0:v>
      </ns0:c>
    </ns0:row>
    <ns0:row r="9" ht="49.95000076293945" customHeight="1">
      <ns0:c r="A9" s="6" t="s">
        <ns0:v>20</ns0:v>
      </ns0:c>
      <ns0:c r="B9" s="6" t="s">
        <ns0:v>19</ns0:v>
      </ns0:c>
      <ns0:c r="C9" s="16">
        <ns0:v>1.43</ns0:v>
      </ns0:c>
      <ns0:c r="D9" s="6" t="s">
        <ns0:v>84</ns0:v>
      </ns0:c>
      <ns0:c r="E9" s="10" t="s">
        <ns0:v>80</ns0:v>
      </ns0:c>
      <ns0:c r="F9" s="6">
        <ns0:v>1</ns0:v>
      </ns0:c>
      <ns0:c r="G9" s="6">
        <ns0:v>1</ns0:v>
      </ns0:c>
      <ns0:c r="H9" s="6" t="s">
        <ns0:v>85</ns0:v>
      </ns0:c>
    </ns0:row>
    <ns0:row r="10" ht="49.95000076293945" customHeight="1">
      <ns0:c r="A10" s="11" t="str">
        <ns0:v>LF50ABV</ns0:v>
      </ns0:c>
      <ns0:c r="B10" s="11" t="str">
        <ns0:v>3130160</ns0:v>
      </ns0:c>
      <ns0:c r="C10" s="17" t="n">
        <ns0:v>1.12</ns0:v>
      </ns0:c>
      <ns0:c r="D10" s="11" t="str">
        <ns0:v>Farnell</ns0:v>
      </ns0:c>
      <ns0:c r="E10" s="15" t="s">
        <ns0:v>80</ns0:v>
      </ns0:c>
      <ns0:c r="F10" s="11">
        <ns0:v>1</ns0:v>
      </ns0:c>
      <ns0:c r="G10" s="11">
        <ns0:v>1</ns0:v>
      </ns0:c>
      <ns0:c r="H10" s="11" t="s">
        <ns0:v>86</ns0:v>
      </ns0:c>
    </ns0:row>
    <ns0:row r="11" ht="49.95000076293945" customHeight="1">
      <ns0:c r="A11" s="6" t="s">
        <ns0:v>24</ns0:v>
      </ns0:c>
      <ns0:c r="B11" s="6" t="s">
        <ns0:v>23</ns0:v>
      </ns0:c>
      <ns0:c r="C11" s="16">
        <ns0:v>8.5999999999999993E-2</ns0:v>
      </ns0:c>
      <ns0:c r="D11" s="6" t="s">
        <ns0:v>84</ns0:v>
      </ns0:c>
      <ns0:c r="E11" s="10" t="s">
        <ns0:v>80</ns0:v>
      </ns0:c>
      <ns0:c r="F11" s="6">
        <ns0:v>2</ns0:v>
      </ns0:c>
      <ns0:c r="G11" s="6">
        <ns0:v>2</ns0:v>
      </ns0:c>
      <ns0:c r="H11" s="6" t="s">
        <ns0:v>87</ns0:v>
      </ns0:c>
    </ns0:row>
    <ns0:row r="12" ht="49.95000076293945" customHeight="1">
      <ns0:c r="A12" s="11" t="s">
        <ns0:v>27</ns0:v>
      </ns0:c>
      <ns0:c r="B12" s="11" t="s">
        <ns0:v>26</ns0:v>
      </ns0:c>
      <ns0:c r="C12" s="17">
        <ns0:v>0.91200000000000003</ns0:v>
      </ns0:c>
      <ns0:c r="D12" s="11" t="s">
        <ns0:v>84</ns0:v>
      </ns0:c>
      <ns0:c r="E12" s="15" t="s">
        <ns0:v>80</ns0:v>
      </ns0:c>
      <ns0:c r="F12" s="11">
        <ns0:v>2</ns0:v>
      </ns0:c>
      <ns0:c r="G12" s="11">
        <ns0:v>2</ns0:v>
      </ns0:c>
      <ns0:c r="H12" s="11" t="s">
        <ns0:v>88</ns0:v>
      </ns0:c>
    </ns0:row>
    <ns0:row r="13" ht="49.95000076293945" customHeight="1">
      <ns0:c r="A13" s="6" t="s">
        <ns0:v>30</ns0:v>
      </ns0:c>
      <ns0:c r="B13" s="6" t="s">
        <ns0:v>29</ns0:v>
      </ns0:c>
      <ns0:c r="C13" s="16">
        <ns0:v>0.13800000000000001</ns0:v>
      </ns0:c>
      <ns0:c r="D13" s="6" t="s">
        <ns0:v>84</ns0:v>
      </ns0:c>
      <ns0:c r="E13" s="10" t="s">
        <ns0:v>80</ns0:v>
      </ns0:c>
      <ns0:c r="F13" s="6">
        <ns0:v>1</ns0:v>
      </ns0:c>
      <ns0:c r="G13" s="6">
        <ns0:v>1</ns0:v>
      </ns0:c>
      <ns0:c r="H13" s="6" t="s">
        <ns0:v>89</ns0:v>
      </ns0:c>
    </ns0:row>
    <ns0:row r="14" ht="49.95000076293945" customHeight="1">
      <ns0:c r="A14" s="11" t="s">
        <ns0:v>33</ns0:v>
      </ns0:c>
      <ns0:c r="B14" s="11" t="s">
        <ns0:v>32</ns0:v>
      </ns0:c>
      <ns0:c r="C14" s="17">
        <ns0:v>8.5999999999999993E-2</ns0:v>
      </ns0:c>
      <ns0:c r="D14" s="11" t="s">
        <ns0:v>84</ns0:v>
      </ns0:c>
      <ns0:c r="E14" s="15" t="s">
        <ns0:v>80</ns0:v>
      </ns0:c>
      <ns0:c r="F14" s="11">
        <ns0:v>4</ns0:v>
      </ns0:c>
      <ns0:c r="G14" s="11">
        <ns0:v>4</ns0:v>
      </ns0:c>
      <ns0:c r="H14" s="11" t="s">
        <ns0:v>90</ns0:v>
      </ns0:c>
    </ns0:row>
    <ns0:row r="15" ht="49.95000076293945" customHeight="1">
      <ns0:c r="A15" s="6" t="s">
        <ns0:v>36</ns0:v>
      </ns0:c>
      <ns0:c r="B15" s="6" t="s">
        <ns0:v>35</ns0:v>
      </ns0:c>
      <ns0:c r="C15" s="16">
        <ns0:v>0.09</ns0:v>
      </ns0:c>
      <ns0:c r="D15" s="6" t="s">
        <ns0:v>82</ns0:v>
      </ns0:c>
      <ns0:c r="E15" s="10" t="s">
        <ns0:v>80</ns0:v>
      </ns0:c>
      <ns0:c r="F15" s="6">
        <ns0:v>1</ns0:v>
      </ns0:c>
      <ns0:c r="G15" s="6">
        <ns0:v>1</ns0:v>
      </ns0:c>
      <ns0:c r="H15" s="6" t="s">
        <ns0:v>91</ns0:v>
      </ns0:c>
    </ns0:row>
    <ns0:row r="16" ht="49.95000076293945" customHeight="1">
      <ns0:c r="A16" s="11" t="s">
        <ns0:v>39</ns0:v>
      </ns0:c>
      <ns0:c r="B16" s="11" t="s">
        <ns0:v>38</ns0:v>
      </ns0:c>
      <ns0:c r="C16" s="17">
        <ns0:v>8.5999999999999993E-2</ns0:v>
      </ns0:c>
      <ns0:c r="D16" s="11" t="s">
        <ns0:v>84</ns0:v>
      </ns0:c>
      <ns0:c r="E16" s="15" t="s">
        <ns0:v>80</ns0:v>
      </ns0:c>
      <ns0:c r="F16" s="11">
        <ns0:v>3</ns0:v>
      </ns0:c>
      <ns0:c r="G16" s="11">
        <ns0:v>3</ns0:v>
      </ns0:c>
      <ns0:c r="H16" s="11" t="s">
        <ns0:v>92</ns0:v>
      </ns0:c>
    </ns0:row>
    <ns0:row r="17" ht="49.95000076293945" customHeight="1">
      <ns0:c r="A17" s="6" t="s">
        <ns0:v>42</ns0:v>
      </ns0:c>
      <ns0:c r="B17" s="6" t="s">
        <ns0:v>41</ns0:v>
      </ns0:c>
      <ns0:c r="C17" s="16">
        <ns0:v>0.09</ns0:v>
      </ns0:c>
      <ns0:c r="D17" s="6" t="s">
        <ns0:v>82</ns0:v>
      </ns0:c>
      <ns0:c r="E17" s="10" t="s">
        <ns0:v>80</ns0:v>
      </ns0:c>
      <ns0:c r="F17" s="6">
        <ns0:v>1</ns0:v>
      </ns0:c>
      <ns0:c r="G17" s="6">
        <ns0:v>1</ns0:v>
      </ns0:c>
      <ns0:c r="H17" s="6" t="s">
        <ns0:v>93</ns0:v>
      </ns0:c>
    </ns0:row>
    <ns0:row r="18" ht="49.95000076293945" customHeight="1">
      <ns0:c r="A18" s="11" t="s">
        <ns0:v>45</ns0:v>
      </ns0:c>
      <ns0:c r="B18" s="11" t="s">
        <ns0:v>44</ns0:v>
      </ns0:c>
      <ns0:c r="C18" s="17">
        <ns0:v>0.09</ns0:v>
      </ns0:c>
      <ns0:c r="D18" s="11" t="s">
        <ns0:v>84</ns0:v>
      </ns0:c>
      <ns0:c r="E18" s="15" t="s">
        <ns0:v>80</ns0:v>
      </ns0:c>
      <ns0:c r="F18" s="11">
        <ns0:v>2</ns0:v>
      </ns0:c>
      <ns0:c r="G18" s="11">
        <ns0:v>2</ns0:v>
      </ns0:c>
      <ns0:c r="H18" s="11" t="s">
        <ns0:v>94</ns0:v>
      </ns0:c>
    </ns0:row>
    <ns0:row r="19" ht="49.95000076293945" customHeight="1">
      <ns0:c r="A19" s="6" t="s">
        <ns0:v>48</ns0:v>
      </ns0:c>
      <ns0:c r="B19" s="6" t="s">
        <ns0:v>47</ns0:v>
      </ns0:c>
      <ns0:c r="C19" s="16">
        <ns0:v>9.6500000000000002E-2</ns0:v>
      </ns0:c>
      <ns0:c r="D19" s="6" t="s">
        <ns0:v>79</ns0:v>
      </ns0:c>
      <ns0:c r="E19" s="10" t="s">
        <ns0:v>80</ns0:v>
      </ns0:c>
      <ns0:c r="F19" s="6">
        <ns0:v>1</ns0:v>
      </ns0:c>
      <ns0:c r="G19" s="6">
        <ns0:v>1</ns0:v>
      </ns0:c>
      <ns0:c r="H19" s="6" t="s">
        <ns0:v>95</ns0:v>
      </ns0:c>
    </ns0:row>
    <ns0:row r="20" ht="49.95000076293945" customHeight="1">
      <ns0:c r="A20" s="11" t="s">
        <ns0:v>51</ns0:v>
      </ns0:c>
      <ns0:c r="B20" s="11" t="s">
        <ns0:v>50</ns0:v>
      </ns0:c>
      <ns0:c r="C20" s="17">
        <ns0:v>9.3799999999999994E-2</ns0:v>
      </ns0:c>
      <ns0:c r="D20" s="11" t="s">
        <ns0:v>79</ns0:v>
      </ns0:c>
      <ns0:c r="E20" s="15" t="s">
        <ns0:v>80</ns0:v>
      </ns0:c>
      <ns0:c r="F20" s="11" t="n">
        <ns0:v>4</ns0:v>
      </ns0:c>
      <ns0:c r="G20" s="11">
        <ns0:v>10</ns0:v>
      </ns0:c>
      <ns0:c r="H20" s="11" t="str">
        <ns0:v>CU1, CU2, CU3, CU5</ns0:v>
      </ns0:c>
    </ns0:row>
    <ns0:row r="21" ht="49.95000076293945" customHeight="1">
      <ns0:c r="A21" s="6" t="s">
        <ns0:v>54</ns0:v>
      </ns0:c>
      <ns0:c r="B21" s="6" t="s">
        <ns0:v>53</ns0:v>
      </ns0:c>
      <ns0:c r="C21" s="16">
        <ns0:v>1.5</ns0:v>
      </ns0:c>
      <ns0:c r="D21" s="6" t="s">
        <ns0:v>84</ns0:v>
      </ns0:c>
      <ns0:c r="E21" s="10" t="s">
        <ns0:v>80</ns0:v>
      </ns0:c>
      <ns0:c r="F21" s="6">
        <ns0:v>1</ns0:v>
      </ns0:c>
      <ns0:c r="G21" s="6">
        <ns0:v>1</ns0:v>
      </ns0:c>
      <ns0:c r="H21" s="6" t="s">
        <ns0:v>96</ns0:v>
      </ns0:c>
    </ns0:row>
    <ns0:row r="22" ht="49.95000076293945" customHeight="1">
      <ns0:c r="A22" s="11" t="s">
        <ns0:v>57</ns0:v>
      </ns0:c>
      <ns0:c r="B22" s="11" t="s">
        <ns0:v>56</ns0:v>
      </ns0:c>
      <ns0:c r="C22" s="17">
        <ns0:v>0.97199999999999998</ns0:v>
      </ns0:c>
      <ns0:c r="D22" s="11" t="s">
        <ns0:v>84</ns0:v>
      </ns0:c>
      <ns0:c r="E22" s="15" t="s">
        <ns0:v>80</ns0:v>
      </ns0:c>
      <ns0:c r="F22" s="11">
        <ns0:v>1</ns0:v>
      </ns0:c>
      <ns0:c r="G22" s="11">
        <ns0:v>1</ns0:v>
      </ns0:c>
      <ns0:c r="H22" s="11" t="s">
        <ns0:v>97</ns0:v>
      </ns0:c>
    </ns0:row>
    <ns0:row r="23" ht="49.95000076293945" customHeight="1">
      <ns0:c r="A23" s="6" t="s">
        <ns0:v>60</ns0:v>
      </ns0:c>
      <ns0:c r="B23" s="6" t="s">
        <ns0:v>59</ns0:v>
      </ns0:c>
      <ns0:c r="C23" s="16">
        <ns0:v>0.76500000000000001</ns0:v>
      </ns0:c>
      <ns0:c r="D23" s="6" t="s">
        <ns0:v>84</ns0:v>
      </ns0:c>
      <ns0:c r="E23" s="10" t="s">
        <ns0:v>80</ns0:v>
      </ns0:c>
      <ns0:c r="F23" s="6">
        <ns0:v>1</ns0:v>
      </ns0:c>
      <ns0:c r="G23" s="6">
        <ns0:v>1</ns0:v>
      </ns0:c>
      <ns0:c r="H23" s="6" t="s">
        <ns0:v>98</ns0:v>
      </ns0:c>
    </ns0:row>
    <ns0:row r="24" ht="49.95000076293945" customHeight="1">
      <ns0:c r="A24" s="11" t="s">
        <ns0:v>63</ns0:v>
      </ns0:c>
      <ns0:c r="B24" s="11" t="s">
        <ns0:v>62</ns0:v>
      </ns0:c>
      <ns0:c r="C24" s="17">
        <ns0:v>1.56</ns0:v>
      </ns0:c>
      <ns0:c r="D24" s="11" t="s">
        <ns0:v>84</ns0:v>
      </ns0:c>
      <ns0:c r="E24" s="15" t="s">
        <ns0:v>80</ns0:v>
      </ns0:c>
      <ns0:c r="F24" s="11">
        <ns0:v>1</ns0:v>
      </ns0:c>
      <ns0:c r="G24" s="11">
        <ns0:v>1</ns0:v>
      </ns0:c>
      <ns0:c r="H24" s="11" t="s">
        <ns0:v>99</ns0:v>
      </ns0:c>
    </ns0:row>
    <ns0:row r="25" ht="49.95000076293945" customHeight="1">
      <ns0:c r="A25" s="6" t="s">
        <ns0:v>66</ns0:v>
      </ns0:c>
      <ns0:c r="B25" s="6" t="s">
        <ns0:v>65</ns0:v>
      </ns0:c>
      <ns0:c r="C25" s="16">
        <ns0:v>0.44</ns0:v>
      </ns0:c>
      <ns0:c r="D25" s="6" t="s">
        <ns0:v>82</ns0:v>
      </ns0:c>
      <ns0:c r="E25" s="10" t="s">
        <ns0:v>80</ns0:v>
      </ns0:c>
      <ns0:c r="F25" s="6">
        <ns0:v>1</ns0:v>
      </ns0:c>
      <ns0:c r="G25" s="6">
        <ns0:v>1</ns0:v>
      </ns0:c>
      <ns0:c r="H25" s="6" t="s">
        <ns0:v>100</ns0:v>
      </ns0:c>
    </ns0:row>
    <ns0:row r="26" ht="49.95000076293945" customHeight="1">
      <ns0:c r="A26" s="11" t="s">
        <ns0:v>68</ns0:v>
      </ns0:c>
      <ns0:c r="B26" s="11" t="s">
        <ns0:v>67</ns0:v>
      </ns0:c>
      <ns0:c r="C26" s="17">
        <ns0:v>0.13</ns0:v>
      </ns0:c>
      <ns0:c r="D26" s="11" t="s">
        <ns0:v>82</ns0:v>
      </ns0:c>
      <ns0:c r="E26" s="15" t="s">
        <ns0:v>80</ns0:v>
      </ns0:c>
      <ns0:c r="F26" s="11" t="n">
        <ns0:v>1</ns0:v>
      </ns0:c>
      <ns0:c r="G26" s="11" t="n">
        <ns0:v>1</ns0:v>
      </ns0:c>
      <ns0:c r="H26" s="11" t="str">
        <ns0:v>JSEL selector header</ns0:v>
      </ns0:c>
    </ns0:row>
    <ns0:row r="27" ht="49.95000076293945" customHeight="1">
      <ns0:c r="A27" s="6" t="s">
        <ns0:v>71</ns0:v>
      </ns0:c>
      <ns0:c r="B27" s="6" t="s">
        <ns0:v>70</ns0:v>
      </ns0:c>
      <ns0:c r="C27" s="16">
        <ns0:v>0.14000000000000001</ns0:v>
      </ns0:c>
      <ns0:c r="D27" s="6" t="s">
        <ns0:v>82</ns0:v>
      </ns0:c>
      <ns0:c r="E27" s="10" t="s">
        <ns0:v>80</ns0:v>
      </ns0:c>
      <ns0:c r="F27" s="6">
        <ns0:v>1</ns0:v>
      </ns0:c>
      <ns0:c r="G27" s="6">
        <ns0:v>1</ns0:v>
      </ns0:c>
      <ns0:c r="H27" s="6" t="s">
        <ns0:v>101</ns0:v>
      </ns0:c>
    </ns0:row>
    <ns0:row r="28" ht="49.95000076293945" customHeight="1">
      <ns0:c r="A28" s="6" t="str">
        <ns0:v>BU-1420701236</ns0:v>
      </ns0:c>
      <ns0:c r="B28" s="6" t="str">
        <ns0:v>4472531</ns0:v>
      </ns0:c>
      <ns0:c r="C28" s="16" t="n">
        <ns0:v>4.53</ns0:v>
      </ns0:c>
      <ns0:c r="D28" s="6" t="str">
        <ns0:v>Farnell</ns0:v>
      </ns0:c>
      <ns0:c r="E28" s="10" t="str">
        <ns0:v>Source ↗</ns0:v>
      </ns0:c>
      <ns0:c r="F28" s="6" t="n">
        <ns0:v>1</ns0:v>
      </ns0:c>
      <ns0:c r="G28" s="6" t="n">
        <ns0:v>1</ns0:v>
      </ns0:c>
      <ns0:c r="H28" s="6" t="str">
        <ns0:v>JSMA: external VD / GND</ns0:v>
      </ns0:c>
      <ns0:c r="I28" s="1"/>
    </ns0:row>
    <ns0:row r="29" ht="49.95000076293945" customHeight="1">
      <ns0:c r="A29" s="6" t="str">
        <ns0:v>EEU-FC1H4R7H</ns0:v>
      </ns0:c>
      <ns0:c r="B29" s="6" t="str">
        <ns0:v>P19662CT-ND</ns0:v>
      </ns0:c>
      <ns0:c r="C29" s="16" t="n">
        <ns0:v>0.36</ns0:v>
      </ns0:c>
      <ns0:c r="D29" s="6" t="str">
        <ns0:v>DigiKey</ns0:v>
      </ns0:c>
      <ns0:c r="E29" s="10" t="str">
        <ns0:v>Source ↗</ns0:v>
      </ns0:c>
      <ns0:c r="F29" s="6" t="n">
        <ns0:v>1</ns0:v>
      </ns0:c>
      <ns0:c r="G29" s="6" t="n">
        <ns0:v>1</ns0:v>
      </ns0:c>
      <ns0:c r="H29" s="6" t="str">
        <ns0:v>COUT (replaces 100 nF)</ns0:v>
      </ns0:c>
      <ns0:c r="I29" s="1"/>
    </ns0:row>
    <ns0:row r="30" ht="49.95000076293945" customHeight="1">
      <ns0:c r="A30" s="6" t="str">
        <ns0:v>PPTC061LFBN-RC</ns0:v>
      </ns0:c>
      <ns0:c r="B30" s="6" t="str">
        <ns0:v>S7004-ND</ns0:v>
      </ns0:c>
      <ns0:c r="C30" s="16" t="n">
        <ns0:v>0.41</ns0:v>
      </ns0:c>
      <ns0:c r="D30" s="6" t="str">
        <ns0:v>DigiKey</ns0:v>
      </ns0:c>
      <ns0:c r="E30" s="10" t="str">
        <ns0:v>Source ↗</ns0:v>
      </ns0:c>
      <ns0:c r="F30" s="6" t="n">
        <ns0:v>1</ns0:v>
      </ns0:c>
      <ns0:c r="G30" s="6" t="n">
        <ns0:v>1</ns0:v>
      </ns0:c>
      <ns0:c r="H30" s="6" t="str">
        <ns0:v>JHDR6</ns0:v>
      </ns0:c>
      <ns0:c r="I30" s="1"/>
    </ns0:row>
    <ns0:row r="31" ht="49.95000076293945" customHeight="1">
      <ns0:c r="A31" s="6" t="str">
        <ns0:v>PPTC081LFBN-RC</ns0:v>
      </ns0:c>
      <ns0:c r="B31" s="6" t="str">
        <ns0:v>S7006-ND</ns0:v>
      </ns0:c>
      <ns0:c r="C31" s="16" t="n">
        <ns0:v>0.51</ns0:v>
      </ns0:c>
      <ns0:c r="D31" s="6" t="str">
        <ns0:v>DigiKey</ns0:v>
      </ns0:c>
      <ns0:c r="E31" s="10" t="str">
        <ns0:v>Source ↗</ns0:v>
      </ns0:c>
      <ns0:c r="F31" s="6" t="n">
        <ns0:v>2</ns0:v>
      </ns0:c>
      <ns0:c r="G31" s="6" t="n">
        <ns0:v>2</ns0:v>
      </ns0:c>
      <ns0:c r="H31" s="6" t="str">
        <ns0:v>JHDR8A, JHDR8B</ns0:v>
      </ns0:c>
      <ns0:c r="I31" s="1"/>
    </ns0:row>
    <ns0:row r="32" ht="49.95000076293945" customHeight="1">
      <ns0:c r="A32" s="6" t="str">
        <ns0:v>PPTC101LFBN-RC</ns0:v>
      </ns0:c>
      <ns0:c r="B32" s="6" t="str">
        <ns0:v>S7008-ND</ns0:v>
      </ns0:c>
      <ns0:c r="C32" s="16" t="n">
        <ns0:v>0.56</ns0:v>
      </ns0:c>
      <ns0:c r="D32" s="6" t="str">
        <ns0:v>DigiKey</ns0:v>
      </ns0:c>
      <ns0:c r="E32" s="10" t="str">
        <ns0:v>Source ↗</ns0:v>
      </ns0:c>
      <ns0:c r="F32" s="6" t="n">
        <ns0:v>1</ns0:v>
      </ns0:c>
      <ns0:c r="G32" s="6" t="n">
        <ns0:v>1</ns0:v>
      </ns0:c>
      <ns0:c r="H32" s="6" t="str">
        <ns0:v>JHDR10</ns0:v>
      </ns0:c>
      <ns0:c r="I32" s="1"/>
    </ns0:row>
    <ns0:row r="33" ht="22.049999237060547" customHeight="1">
      <ns0:c r="A33" s="1"/>
      <ns0:c r="B33" s="1"/>
      <ns0:c r="C33" s="1"/>
      <ns0:c r="D33" s="1"/>
      <ns0:c r="E33" s="1"/>
      <ns0:c r="F33" s="1"/>
      <ns0:c r="G33" s="1"/>
      <ns0:c r="H33" s="1"/>
      <ns0:c r="I33" s="1"/>
    </ns0:row>
    <ns0:row r="34" ht="22.049999237060547" customHeight="1">
      <ns0:c r="A34" s="1"/>
      <ns0:c r="B34" s="1"/>
      <ns0:c r="C34" s="1"/>
      <ns0:c r="D34" s="1"/>
      <ns0:c r="E34" s="1"/>
      <ns0:c r="F34" s="1"/>
      <ns0:c r="G34" s="1"/>
      <ns0:c r="H34" s="1"/>
      <ns0:c r="I34" s="1"/>
    </ns0:row>
    <ns0:row r="35" ht="22.049999237060547" customHeight="1">
      <ns0:c r="A35" s="1"/>
      <ns0:c r="B35" s="1"/>
      <ns0:c r="C35" s="1"/>
      <ns0:c r="D35" s="1"/>
      <ns0:c r="E35" s="1"/>
      <ns0:c r="F35" s="1"/>
      <ns0:c r="G35" s="1"/>
      <ns0:c r="H35" s="1"/>
      <ns0:c r="I35" s="1"/>
    </ns0:row>
    <ns0:row r="36" ht="22.049999237060547" customHeight="1">
      <ns0:c r="A36" s="1"/>
      <ns0:c r="B36" s="1"/>
      <ns0:c r="C36" s="1"/>
      <ns0:c r="D36" s="1"/>
      <ns0:c r="E36" s="1"/>
      <ns0:c r="F36" s="1"/>
      <ns0:c r="G36" s="1"/>
      <ns0:c r="H36" s="1"/>
      <ns0:c r="I36" s="1"/>
    </ns0:row>
    <ns0:row r="37" ht="22.049999237060547" customHeight="1">
      <ns0:c r="A37" s="1"/>
      <ns0:c r="B37" s="1"/>
      <ns0:c r="C37" s="1"/>
      <ns0:c r="D37" s="1"/>
      <ns0:c r="E37" s="1"/>
      <ns0:c r="F37" s="1"/>
      <ns0:c r="G37" s="1"/>
      <ns0:c r="H37" s="1"/>
      <ns0:c r="I37" s="1"/>
    </ns0:row>
    <ns0:row r="38" ht="22.049999237060547" customHeight="1">
      <ns0:c r="A38" s="1"/>
      <ns0:c r="B38" s="1"/>
      <ns0:c r="C38" s="1"/>
      <ns0:c r="D38" s="1"/>
      <ns0:c r="E38" s="1"/>
      <ns0:c r="F38" s="1"/>
      <ns0:c r="G38" s="1"/>
      <ns0:c r="H38" s="1"/>
      <ns0:c r="I38" s="1"/>
    </ns0:row>
    <ns0:row r="39" ht="22.049999237060547" customHeight="1">
      <ns0:c r="A39" s="1"/>
      <ns0:c r="B39" s="1"/>
      <ns0:c r="C39" s="1"/>
      <ns0:c r="D39" s="1"/>
      <ns0:c r="E39" s="1"/>
      <ns0:c r="F39" s="1"/>
      <ns0:c r="G39" s="1"/>
      <ns0:c r="H39" s="1"/>
      <ns0:c r="I39" s="1"/>
    </ns0:row>
    <ns0:row r="40" ht="22.049999237060547" customHeight="1">
      <ns0:c r="A40" s="1"/>
      <ns0:c r="B40" s="1"/>
      <ns0:c r="C40" s="1"/>
      <ns0:c r="D40" s="1"/>
      <ns0:c r="E40" s="1"/>
      <ns0:c r="F40" s="1"/>
      <ns0:c r="G40" s="1"/>
      <ns0:c r="H40" s="1"/>
      <ns0:c r="I40" s="1"/>
    </ns0:row>
  </ns0:sheetData>
  <ns0:mergeCells>
    <ns0:mergeCell ref="A2:H2"/>
    <ns0:mergeCell ref="A3:I3"/>
    <ns0:mergeCell ref="A4:I4"/>
    <ns0:mergeCell ref="A5:I5"/>
  </ns0:mergeCells>
  <ns0:hyperlinks>
    <ns0:hyperlink ref="E7" ns1:id="Re337dd82d2234dfc"/>
    <ns0:hyperlink ref="E8" ns1:id="R878ac166b4df467f"/>
    <ns0:hyperlink ref="E9" ns1:id="R39061d3f9a7d48a0"/>
    <ns0:hyperlink ref="E10" ns1:id="rIdBomRevision2_0"/>
    <ns0:hyperlink ref="E11" ns1:id="Rf5a25a2e973643f3"/>
    <ns0:hyperlink ref="E12" ns1:id="R26d7c3210a5f4f98"/>
    <ns0:hyperlink ref="E13" ns1:id="R2adec82a461a40f5"/>
    <ns0:hyperlink ref="E14" ns1:id="Rf2c9a0ca55d546e4"/>
    <ns0:hyperlink ref="E15" ns1:id="R81106ed3ff5c4060"/>
    <ns0:hyperlink ref="E16" ns1:id="R8c209c3ffaeb4e5f"/>
    <ns0:hyperlink ref="E17" ns1:id="Rd1ce3ea45f754dee"/>
    <ns0:hyperlink ref="E18" ns1:id="R86f6e4826a5a4073"/>
    <ns0:hyperlink ref="E19" ns1:id="Re47e24e767eb493f"/>
    <ns0:hyperlink ref="E20" ns1:id="R679b183ad0a54093"/>
    <ns0:hyperlink ref="E21" ns1:id="R7689733467a44a98"/>
    <ns0:hyperlink ref="E22" ns1:id="R0895a336b5fc4590"/>
    <ns0:hyperlink ref="E23" ns1:id="R33e8200d783346e7"/>
    <ns0:hyperlink ref="E24" ns1:id="Rcf2446b6b36d4620"/>
    <ns0:hyperlink ref="E25" ns1:id="R08656382cf854ab7"/>
    <ns0:hyperlink ref="E26" ns1:id="Rd2033856e0324c56"/>
    <ns0:hyperlink ref="E27" ns1:id="Ra250c5e5b1c94179"/>
    <ns0:hyperlink ref="E28" ns1:id="Rb1f2cbdd78be47fe"/>
    <ns0:hyperlink ref="E29" ns1:id="rIdBomRevision2_1"/>
    <ns0:hyperlink ref="E30" ns1:id="rIdBomRevision2_2"/>
    <ns0:hyperlink ref="E31" ns1:id="rIdBomRevision2_3"/>
    <ns0:hyperlink ref="E32" ns1:id="rIdBomRevision2_4"/>
  </ns0:hyperlinks>
  <ns0:pageMargins left="0.7" right="0.7" top="0.75" bottom="0.75" header="0.3" footer="0.3"/>
  <ns0:tableParts count="1">
    <ns0:tablePart ns1:id="Rf1e8862cf1a64770"/>
  </ns0:tableParts>
</ns0:worksheet>
</file>